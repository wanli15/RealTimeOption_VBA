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80" yWindow="165" windowWidth="25125" windowHeight="11415"/>
  </bookViews>
  <sheets>
    <sheet name="Console" sheetId="2" r:id="rId1"/>
    <sheet name="Yahoo" sheetId="1" r:id="rId2"/>
    <sheet name="Analyze" sheetId="3" r:id="rId3"/>
  </sheets>
  <functionGroups builtInGroupCount="17"/>
  <definedNames>
    <definedName name="_xlnm._FilterDatabase" localSheetId="1" hidden="1">Yahoo!$B$5:$P$39</definedName>
    <definedName name="EndTime">#REF!</definedName>
    <definedName name="Frequency">#REF!</definedName>
    <definedName name="gsymbol">Analyze!$B$3</definedName>
    <definedName name="Refresh">#REF!</definedName>
    <definedName name="StartTime">#REF!</definedName>
    <definedName name="symbol">Yahoo!$B$3</definedName>
    <definedName name="Table">#REF!</definedName>
    <definedName name="Table2">#REF!</definedName>
    <definedName name="Table3">#REF!</definedName>
    <definedName name="ticker">Console!$B$3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R3" i="1" l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R68" i="1"/>
  <c r="S68" i="1"/>
  <c r="R69" i="1"/>
  <c r="S69" i="1"/>
  <c r="R70" i="1"/>
  <c r="S70" i="1"/>
  <c r="R71" i="1"/>
  <c r="S71" i="1"/>
  <c r="R72" i="1"/>
  <c r="S72" i="1"/>
  <c r="R73" i="1"/>
  <c r="S73" i="1"/>
  <c r="R74" i="1"/>
  <c r="S74" i="1"/>
  <c r="R75" i="1"/>
  <c r="S75" i="1"/>
  <c r="R76" i="1"/>
  <c r="S76" i="1"/>
  <c r="R77" i="1"/>
  <c r="S77" i="1"/>
  <c r="R78" i="1"/>
  <c r="S78" i="1"/>
  <c r="R79" i="1"/>
  <c r="S79" i="1"/>
  <c r="R80" i="1"/>
  <c r="S80" i="1"/>
  <c r="R81" i="1"/>
  <c r="S81" i="1"/>
  <c r="R82" i="1"/>
  <c r="S82" i="1"/>
  <c r="R83" i="1"/>
  <c r="S83" i="1"/>
  <c r="R84" i="1"/>
  <c r="S84" i="1"/>
  <c r="R85" i="1"/>
  <c r="S85" i="1"/>
  <c r="R86" i="1"/>
  <c r="S86" i="1"/>
  <c r="R87" i="1"/>
  <c r="S87" i="1"/>
  <c r="R88" i="1"/>
  <c r="S88" i="1"/>
  <c r="R89" i="1"/>
  <c r="S89" i="1"/>
  <c r="R90" i="1"/>
  <c r="S90" i="1"/>
  <c r="R91" i="1"/>
  <c r="S91" i="1"/>
  <c r="R92" i="1"/>
  <c r="S92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103" i="1"/>
  <c r="S103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0" i="1"/>
  <c r="S110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8" i="1"/>
  <c r="S118" i="1"/>
  <c r="R119" i="1"/>
  <c r="S119" i="1"/>
  <c r="R120" i="1"/>
  <c r="S120" i="1"/>
  <c r="R121" i="1"/>
  <c r="S121" i="1"/>
  <c r="R122" i="1"/>
  <c r="S122" i="1"/>
  <c r="R123" i="1"/>
  <c r="S123" i="1"/>
  <c r="R124" i="1"/>
  <c r="S124" i="1"/>
  <c r="R125" i="1"/>
  <c r="S125" i="1"/>
  <c r="R126" i="1"/>
  <c r="S126" i="1"/>
  <c r="R127" i="1"/>
  <c r="S127" i="1"/>
  <c r="R128" i="1"/>
  <c r="S128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R135" i="1"/>
  <c r="S135" i="1"/>
  <c r="R136" i="1"/>
  <c r="S136" i="1"/>
  <c r="R137" i="1"/>
  <c r="S137" i="1"/>
  <c r="R138" i="1"/>
  <c r="S138" i="1"/>
  <c r="R139" i="1"/>
  <c r="S139" i="1"/>
  <c r="R140" i="1"/>
  <c r="S140" i="1"/>
  <c r="R141" i="1"/>
  <c r="S141" i="1"/>
  <c r="R142" i="1"/>
  <c r="S142" i="1"/>
  <c r="R143" i="1"/>
  <c r="S143" i="1"/>
  <c r="R144" i="1"/>
  <c r="S144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4" i="1"/>
  <c r="S154" i="1"/>
  <c r="R155" i="1"/>
  <c r="S155" i="1"/>
  <c r="R156" i="1"/>
  <c r="S156" i="1"/>
  <c r="R157" i="1"/>
  <c r="S157" i="1"/>
  <c r="R158" i="1"/>
  <c r="S158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5" i="1"/>
  <c r="S165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5" i="1"/>
  <c r="S175" i="1"/>
  <c r="R176" i="1"/>
  <c r="S176" i="1"/>
  <c r="R177" i="1"/>
  <c r="S177" i="1"/>
  <c r="R178" i="1"/>
  <c r="S178" i="1"/>
  <c r="R179" i="1"/>
  <c r="S179" i="1"/>
  <c r="R180" i="1"/>
  <c r="S180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0" i="1"/>
  <c r="S190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3" i="1"/>
  <c r="S203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0" i="1"/>
  <c r="S210" i="1"/>
  <c r="R211" i="1"/>
  <c r="S211" i="1"/>
  <c r="R212" i="1"/>
  <c r="S212" i="1"/>
  <c r="R213" i="1"/>
  <c r="S213" i="1"/>
  <c r="R214" i="1"/>
  <c r="S214" i="1"/>
  <c r="R215" i="1"/>
  <c r="S215" i="1"/>
  <c r="R216" i="1"/>
  <c r="S216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R227" i="1"/>
  <c r="S227" i="1"/>
  <c r="R228" i="1"/>
  <c r="S228" i="1"/>
  <c r="R229" i="1"/>
  <c r="S229" i="1"/>
  <c r="R230" i="1"/>
  <c r="S230" i="1"/>
  <c r="R231" i="1"/>
  <c r="S231" i="1"/>
  <c r="R232" i="1"/>
  <c r="S232" i="1"/>
  <c r="R233" i="1"/>
  <c r="S233" i="1"/>
  <c r="R234" i="1"/>
  <c r="S234" i="1"/>
  <c r="R235" i="1"/>
  <c r="S235" i="1"/>
  <c r="R236" i="1"/>
  <c r="S236" i="1"/>
  <c r="R237" i="1"/>
  <c r="S237" i="1"/>
  <c r="R238" i="1"/>
  <c r="S238" i="1"/>
  <c r="R239" i="1"/>
  <c r="S239" i="1"/>
  <c r="R240" i="1"/>
  <c r="S240" i="1"/>
  <c r="R241" i="1"/>
  <c r="S241" i="1"/>
  <c r="R242" i="1"/>
  <c r="S242" i="1"/>
  <c r="R243" i="1"/>
  <c r="S243" i="1"/>
  <c r="R244" i="1"/>
  <c r="S244" i="1"/>
  <c r="R245" i="1"/>
  <c r="S245" i="1"/>
  <c r="R246" i="1"/>
  <c r="S246" i="1"/>
  <c r="R247" i="1"/>
  <c r="S247" i="1"/>
  <c r="R248" i="1"/>
  <c r="S248" i="1"/>
  <c r="R249" i="1"/>
  <c r="S249" i="1"/>
  <c r="R250" i="1"/>
  <c r="S250" i="1"/>
  <c r="R251" i="1"/>
  <c r="S251" i="1"/>
  <c r="R252" i="1"/>
  <c r="S252" i="1"/>
  <c r="R253" i="1"/>
  <c r="S253" i="1"/>
  <c r="R254" i="1"/>
  <c r="S254" i="1"/>
  <c r="R255" i="1"/>
  <c r="S255" i="1"/>
  <c r="R256" i="1"/>
  <c r="S256" i="1"/>
  <c r="R257" i="1"/>
  <c r="S257" i="1"/>
  <c r="R258" i="1"/>
  <c r="S258" i="1"/>
  <c r="R259" i="1"/>
  <c r="S259" i="1"/>
  <c r="R260" i="1"/>
  <c r="S260" i="1"/>
  <c r="R261" i="1"/>
  <c r="S261" i="1"/>
  <c r="R262" i="1"/>
  <c r="S262" i="1"/>
  <c r="R263" i="1"/>
  <c r="S263" i="1"/>
  <c r="R264" i="1"/>
  <c r="S264" i="1"/>
  <c r="R265" i="1"/>
  <c r="S265" i="1"/>
  <c r="R266" i="1"/>
  <c r="S266" i="1"/>
  <c r="R267" i="1"/>
  <c r="S267" i="1"/>
  <c r="R268" i="1"/>
  <c r="S268" i="1"/>
  <c r="R269" i="1"/>
  <c r="S269" i="1"/>
  <c r="R270" i="1"/>
  <c r="S270" i="1"/>
  <c r="R271" i="1"/>
  <c r="S271" i="1"/>
  <c r="R272" i="1"/>
  <c r="S272" i="1"/>
  <c r="R273" i="1"/>
  <c r="S273" i="1"/>
  <c r="R274" i="1"/>
  <c r="S274" i="1"/>
  <c r="R275" i="1"/>
  <c r="S275" i="1"/>
  <c r="R276" i="1"/>
  <c r="S276" i="1"/>
  <c r="R277" i="1"/>
  <c r="S277" i="1"/>
  <c r="R278" i="1"/>
  <c r="S278" i="1"/>
  <c r="R279" i="1"/>
  <c r="S279" i="1"/>
  <c r="R280" i="1"/>
  <c r="S280" i="1"/>
  <c r="R281" i="1"/>
  <c r="S281" i="1"/>
  <c r="R282" i="1"/>
  <c r="S282" i="1"/>
  <c r="R283" i="1"/>
  <c r="S283" i="1"/>
  <c r="R284" i="1"/>
  <c r="S284" i="1"/>
  <c r="R285" i="1"/>
  <c r="S285" i="1"/>
  <c r="R286" i="1"/>
  <c r="S286" i="1"/>
  <c r="R287" i="1"/>
  <c r="S287" i="1"/>
  <c r="R288" i="1"/>
  <c r="S288" i="1"/>
  <c r="R289" i="1"/>
  <c r="S289" i="1"/>
  <c r="R290" i="1"/>
  <c r="S290" i="1"/>
  <c r="R291" i="1"/>
  <c r="S291" i="1"/>
  <c r="R292" i="1"/>
  <c r="S292" i="1"/>
  <c r="R293" i="1"/>
  <c r="S293" i="1"/>
  <c r="R294" i="1"/>
  <c r="S294" i="1"/>
  <c r="R295" i="1"/>
  <c r="S295" i="1"/>
  <c r="R296" i="1"/>
  <c r="S296" i="1"/>
  <c r="R297" i="1"/>
  <c r="S297" i="1"/>
  <c r="R298" i="1"/>
  <c r="S298" i="1"/>
  <c r="R299" i="1"/>
  <c r="S299" i="1"/>
  <c r="R300" i="1"/>
  <c r="S300" i="1"/>
  <c r="R301" i="1"/>
  <c r="S301" i="1"/>
  <c r="R302" i="1"/>
  <c r="S302" i="1"/>
  <c r="R303" i="1"/>
  <c r="S303" i="1"/>
  <c r="R304" i="1"/>
  <c r="S304" i="1"/>
  <c r="R305" i="1"/>
  <c r="S305" i="1"/>
  <c r="R306" i="1"/>
  <c r="S306" i="1"/>
  <c r="R307" i="1"/>
  <c r="S307" i="1"/>
  <c r="R308" i="1"/>
  <c r="S308" i="1"/>
  <c r="R309" i="1"/>
  <c r="S309" i="1"/>
  <c r="R310" i="1"/>
  <c r="S310" i="1"/>
  <c r="R311" i="1"/>
  <c r="S311" i="1"/>
  <c r="R312" i="1"/>
  <c r="S312" i="1"/>
  <c r="R313" i="1"/>
  <c r="S313" i="1"/>
  <c r="R314" i="1"/>
  <c r="S314" i="1"/>
  <c r="R315" i="1"/>
  <c r="S315" i="1"/>
  <c r="R316" i="1"/>
  <c r="S316" i="1"/>
  <c r="R317" i="1"/>
  <c r="S317" i="1"/>
  <c r="R318" i="1"/>
  <c r="S318" i="1"/>
  <c r="R319" i="1"/>
  <c r="S319" i="1"/>
  <c r="R320" i="1"/>
  <c r="S320" i="1"/>
  <c r="R321" i="1"/>
  <c r="S321" i="1"/>
  <c r="R322" i="1"/>
  <c r="S322" i="1"/>
  <c r="R323" i="1"/>
  <c r="S323" i="1"/>
  <c r="R324" i="1"/>
  <c r="S324" i="1"/>
  <c r="R325" i="1"/>
  <c r="S325" i="1"/>
  <c r="R326" i="1"/>
  <c r="S326" i="1"/>
  <c r="R327" i="1"/>
  <c r="S327" i="1"/>
  <c r="R328" i="1"/>
  <c r="S328" i="1"/>
  <c r="R329" i="1"/>
  <c r="S329" i="1"/>
  <c r="R330" i="1"/>
  <c r="S330" i="1"/>
  <c r="R331" i="1"/>
  <c r="S331" i="1"/>
  <c r="R332" i="1"/>
  <c r="S332" i="1"/>
  <c r="R333" i="1"/>
  <c r="S333" i="1"/>
  <c r="R334" i="1"/>
  <c r="S334" i="1"/>
  <c r="R335" i="1"/>
  <c r="S335" i="1"/>
  <c r="R336" i="1"/>
  <c r="S336" i="1"/>
  <c r="R337" i="1"/>
  <c r="S337" i="1"/>
  <c r="R338" i="1"/>
  <c r="S338" i="1"/>
  <c r="R339" i="1"/>
  <c r="S339" i="1"/>
  <c r="R340" i="1"/>
  <c r="S340" i="1"/>
  <c r="R341" i="1"/>
  <c r="S341" i="1"/>
  <c r="R342" i="1"/>
  <c r="S342" i="1"/>
  <c r="R343" i="1"/>
  <c r="S343" i="1"/>
  <c r="R344" i="1"/>
  <c r="S344" i="1"/>
  <c r="R345" i="1"/>
  <c r="S345" i="1"/>
  <c r="R346" i="1"/>
  <c r="S346" i="1"/>
  <c r="R347" i="1"/>
  <c r="S347" i="1"/>
  <c r="R348" i="1"/>
  <c r="S348" i="1"/>
  <c r="R349" i="1"/>
  <c r="S349" i="1"/>
  <c r="R350" i="1"/>
  <c r="S350" i="1"/>
  <c r="R351" i="1"/>
  <c r="S351" i="1"/>
  <c r="R352" i="1"/>
  <c r="S352" i="1"/>
  <c r="R353" i="1"/>
  <c r="S353" i="1"/>
  <c r="R354" i="1"/>
  <c r="S354" i="1"/>
  <c r="R355" i="1"/>
  <c r="S355" i="1"/>
  <c r="R356" i="1"/>
  <c r="S356" i="1"/>
  <c r="R357" i="1"/>
  <c r="S357" i="1"/>
  <c r="R358" i="1"/>
  <c r="S358" i="1"/>
  <c r="R359" i="1"/>
  <c r="S359" i="1"/>
  <c r="Q7" i="1" l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6" i="1"/>
</calcChain>
</file>

<file path=xl/connections.xml><?xml version="1.0" encoding="utf-8"?>
<connections xmlns="http://schemas.openxmlformats.org/spreadsheetml/2006/main">
  <connection id="1" name="Connection" type="4" refreshedVersion="4" background="1">
    <webPr sourceData="1" parsePre="1" consecutive="1" xl2000="1" url="https://www.google.ca/finance/option_chain?q=NASDAQ%3AMSFT#"/>
  </connection>
</connections>
</file>

<file path=xl/sharedStrings.xml><?xml version="1.0" encoding="utf-8"?>
<sst xmlns="http://schemas.openxmlformats.org/spreadsheetml/2006/main" count="4978" uniqueCount="1840">
  <si>
    <t>Symbol</t>
  </si>
  <si>
    <t>Last</t>
  </si>
  <si>
    <t>Change</t>
  </si>
  <si>
    <t>Bid</t>
  </si>
  <si>
    <t>Ask</t>
  </si>
  <si>
    <t>Volume</t>
  </si>
  <si>
    <t>Open Int</t>
  </si>
  <si>
    <t>Strike</t>
  </si>
  <si>
    <t>Spot</t>
  </si>
  <si>
    <t xml:space="preserve"> - </t>
  </si>
  <si>
    <t>Bisection IV</t>
  </si>
  <si>
    <t>Newton IV</t>
  </si>
  <si>
    <t>Dleta</t>
  </si>
  <si>
    <t>Gamma</t>
  </si>
  <si>
    <t>Vega</t>
  </si>
  <si>
    <t>Theta</t>
  </si>
  <si>
    <t>Roh</t>
  </si>
  <si>
    <t>Moneyness</t>
  </si>
  <si>
    <t>enddate</t>
  </si>
  <si>
    <t>Bisection Implied Volatility</t>
  </si>
  <si>
    <t>Newton Implied Volatility</t>
  </si>
  <si>
    <t>Option Greeks</t>
  </si>
  <si>
    <t>Delta</t>
  </si>
  <si>
    <t>Rho</t>
  </si>
  <si>
    <t>Volatility</t>
  </si>
  <si>
    <t>Black_schole Price</t>
  </si>
  <si>
    <t>fe514xiaowan@gmail.com</t>
  </si>
  <si>
    <t>113437806@qq.com</t>
  </si>
  <si>
    <t>startdate</t>
  </si>
  <si>
    <t>maturity</t>
  </si>
  <si>
    <t>wli25@stevens.edu</t>
  </si>
  <si>
    <t>Receiver2</t>
  </si>
  <si>
    <t>Receiver3</t>
  </si>
  <si>
    <t>Receiver4</t>
  </si>
  <si>
    <t>CC</t>
  </si>
  <si>
    <t>BC</t>
  </si>
  <si>
    <t>jade.wanli15@gmail.com</t>
  </si>
  <si>
    <t>808@szetn.cn</t>
  </si>
  <si>
    <t>Sender</t>
  </si>
  <si>
    <t>Real-time Option Analyzer</t>
  </si>
  <si>
    <t>Receiver1</t>
  </si>
  <si>
    <t>xluo8@stevens.edu</t>
  </si>
  <si>
    <t>BS Call</t>
  </si>
  <si>
    <t>BS Put</t>
  </si>
  <si>
    <t>possible_arb_call</t>
  </si>
  <si>
    <t>possible_arb_put</t>
  </si>
  <si>
    <t>N</t>
  </si>
  <si>
    <t>Y</t>
  </si>
  <si>
    <t>AAPL160819C00085000</t>
  </si>
  <si>
    <t>AAPL160819P00085000</t>
  </si>
  <si>
    <t>AAPL160819C00090000</t>
  </si>
  <si>
    <t>AAPL160819P00090000</t>
  </si>
  <si>
    <t>AAPL160819C00095000</t>
  </si>
  <si>
    <t>AAPL160819P00095000</t>
  </si>
  <si>
    <t>AAPL160819C00097500</t>
  </si>
  <si>
    <t>AAPL160819P00097500</t>
  </si>
  <si>
    <t>AAPL160819C00100000</t>
  </si>
  <si>
    <t>AAPL160819P00100000</t>
  </si>
  <si>
    <t>AAPL160819C00105000</t>
  </si>
  <si>
    <t>AAPL160819P00105000</t>
  </si>
  <si>
    <t>AAPL160819C00110000</t>
  </si>
  <si>
    <t>AAPL160819P00110000</t>
  </si>
  <si>
    <t>AAPL160819C00115000</t>
  </si>
  <si>
    <t>AAPL160819P00115000</t>
  </si>
  <si>
    <t>AAPL160819C00120000</t>
  </si>
  <si>
    <t>AAPL160819P00120000</t>
  </si>
  <si>
    <t>AAPL160819C00125000</t>
  </si>
  <si>
    <t>AAPL160819P00125000</t>
  </si>
  <si>
    <t>AAPL160819C00130000</t>
  </si>
  <si>
    <t>AAPL160819P00130000</t>
  </si>
  <si>
    <t>AAPL160819C00135000</t>
  </si>
  <si>
    <t>AAPL160819P00135000</t>
  </si>
  <si>
    <t>AAPL160819C00140000</t>
  </si>
  <si>
    <t>AAPL160819P00140000</t>
  </si>
  <si>
    <t>AAPL160819C00145000</t>
  </si>
  <si>
    <t>AAPL160819P00145000</t>
  </si>
  <si>
    <t>AAPL160819C00150000</t>
  </si>
  <si>
    <t>AAPL160819P00150000</t>
  </si>
  <si>
    <t>AAPL161021C00050000</t>
  </si>
  <si>
    <t>AAPL161021P00050000</t>
  </si>
  <si>
    <t>AAPL161021C00055000</t>
  </si>
  <si>
    <t>AAPL161021P00055000</t>
  </si>
  <si>
    <t>AAPL161021C00060000</t>
  </si>
  <si>
    <t>AAPL161021P00060000</t>
  </si>
  <si>
    <t>AAPL161021C00065000</t>
  </si>
  <si>
    <t>AAPL161021P00065000</t>
  </si>
  <si>
    <t>AAPL161021C00070000</t>
  </si>
  <si>
    <t>AAPL161021P00070000</t>
  </si>
  <si>
    <t>AAPL161021C00075000</t>
  </si>
  <si>
    <t>AAPL161021P00075000</t>
  </si>
  <si>
    <t>AAPL161021C00080000</t>
  </si>
  <si>
    <t>AAPL161021P00080000</t>
  </si>
  <si>
    <t>AAPL161021C00085000</t>
  </si>
  <si>
    <t>AAPL161021P00085000</t>
  </si>
  <si>
    <t>AAPL161021C00087500</t>
  </si>
  <si>
    <t>AAPL161021P00087500</t>
  </si>
  <si>
    <t>AAPL161021C00090000</t>
  </si>
  <si>
    <t>AAPL161021P00090000</t>
  </si>
  <si>
    <t>AAPL161021C00092500</t>
  </si>
  <si>
    <t>AAPL161021P00092500</t>
  </si>
  <si>
    <t>AAPL161021C00095000</t>
  </si>
  <si>
    <t>AAPL161021P00095000</t>
  </si>
  <si>
    <t>AAPL161021C00097500</t>
  </si>
  <si>
    <t>AAPL161021P00097500</t>
  </si>
  <si>
    <t>AAPL161021C00100000</t>
  </si>
  <si>
    <t>AAPL161021P00100000</t>
  </si>
  <si>
    <t>AAPL161021C00105000</t>
  </si>
  <si>
    <t>AAPL161021P00105000</t>
  </si>
  <si>
    <t>AAPL161021C00110000</t>
  </si>
  <si>
    <t>AAPL161021P00110000</t>
  </si>
  <si>
    <t>AAPL161021C00115000</t>
  </si>
  <si>
    <t>AAPL161021P00115000</t>
  </si>
  <si>
    <t>AAPL161021C00120000</t>
  </si>
  <si>
    <t>AAPL161021P00120000</t>
  </si>
  <si>
    <t>AAPL161021C00125000</t>
  </si>
  <si>
    <t>AAPL161021P00125000</t>
  </si>
  <si>
    <t>AAPL161021C00130000</t>
  </si>
  <si>
    <t>AAPL161021P00130000</t>
  </si>
  <si>
    <t>AAPL161021C00135000</t>
  </si>
  <si>
    <t>AAPL161021P00135000</t>
  </si>
  <si>
    <t>AAPL161021C00140000</t>
  </si>
  <si>
    <t>AAPL161021P00140000</t>
  </si>
  <si>
    <t>AAPL161021C00145000</t>
  </si>
  <si>
    <t>AAPL161021P00145000</t>
  </si>
  <si>
    <t>AAPL161021C00150000</t>
  </si>
  <si>
    <t>AAPL161021P00150000</t>
  </si>
  <si>
    <t>AAPL161021C00155000</t>
  </si>
  <si>
    <t>AAPL161021P00155000</t>
  </si>
  <si>
    <t>AAPL161021C00160000</t>
  </si>
  <si>
    <t>AAPL161021P00160000</t>
  </si>
  <si>
    <t>AAPL161021C00165000</t>
  </si>
  <si>
    <t>AAPL161021P00165000</t>
  </si>
  <si>
    <t>AAPL161021C00170000</t>
  </si>
  <si>
    <t>AAPL161021P00170000</t>
  </si>
  <si>
    <t>AAPL161021C00175000</t>
  </si>
  <si>
    <t>AAPL161021P00175000</t>
  </si>
  <si>
    <t>AAPL161021C00180000</t>
  </si>
  <si>
    <t>AAPL161021P00180000</t>
  </si>
  <si>
    <t>AAPL161021C00185000</t>
  </si>
  <si>
    <t>AAPL161021P00185000</t>
  </si>
  <si>
    <t>AAPL161021C00190000</t>
  </si>
  <si>
    <t>AAPL161021P00190000</t>
  </si>
  <si>
    <t>AAPL161021C00195000</t>
  </si>
  <si>
    <t>AAPL161021P00195000</t>
  </si>
  <si>
    <t>AAPL170120C00015000</t>
  </si>
  <si>
    <t>AAPL170120P00015000</t>
  </si>
  <si>
    <t>AAPL170120C00020000</t>
  </si>
  <si>
    <t>AAPL170120P00020000</t>
  </si>
  <si>
    <t>AAPL170120C00022500</t>
  </si>
  <si>
    <t>AAPL170120P00022500</t>
  </si>
  <si>
    <t>AAPL170120C00025000</t>
  </si>
  <si>
    <t>AAPL170120P00025000</t>
  </si>
  <si>
    <t>AAPL170120C00030000</t>
  </si>
  <si>
    <t>AAPL170120P00030000</t>
  </si>
  <si>
    <t>AAPL170120C00035000</t>
  </si>
  <si>
    <t>AAPL170120P00035000</t>
  </si>
  <si>
    <t>AAPL170120C00040000</t>
  </si>
  <si>
    <t>AAPL170120P00040000</t>
  </si>
  <si>
    <t>AAPL170120C00045000</t>
  </si>
  <si>
    <t>AAPL170120P00045000</t>
  </si>
  <si>
    <t>AAPL170120C00047500</t>
  </si>
  <si>
    <t>AAPL170120P00047500</t>
  </si>
  <si>
    <t>AAPL170120C00050000</t>
  </si>
  <si>
    <t>AAPL170120P00050000</t>
  </si>
  <si>
    <t>AAPL170120C00055000</t>
  </si>
  <si>
    <t>AAPL170120P00055000</t>
  </si>
  <si>
    <t>AAPL170120C00060000</t>
  </si>
  <si>
    <t>AAPL170120P00060000</t>
  </si>
  <si>
    <t>AAPL170120C00065000</t>
  </si>
  <si>
    <t>AAPL170120P00065000</t>
  </si>
  <si>
    <t>AAPL170120C00070000</t>
  </si>
  <si>
    <t>AAPL170120P00070000</t>
  </si>
  <si>
    <t>AAPL170120C00075000</t>
  </si>
  <si>
    <t>AAPL170120P00075000</t>
  </si>
  <si>
    <t>AAPL170120C00080000</t>
  </si>
  <si>
    <t>AAPL170120P00080000</t>
  </si>
  <si>
    <t>AAPL170120C00085000</t>
  </si>
  <si>
    <t>AAPL170120P00085000</t>
  </si>
  <si>
    <t>AAPL170120C00087500</t>
  </si>
  <si>
    <t>AAPL170120P00087500</t>
  </si>
  <si>
    <t>AAPL170120C00090000</t>
  </si>
  <si>
    <t>AAPL170120P00090000</t>
  </si>
  <si>
    <t>AAPL170120C00092500</t>
  </si>
  <si>
    <t>AAPL170120P00092500</t>
  </si>
  <si>
    <t>AAPL170120C00095000</t>
  </si>
  <si>
    <t>AAPL170120P00095000</t>
  </si>
  <si>
    <t>AAPL170120C00097500</t>
  </si>
  <si>
    <t>AAPL170120P00097500</t>
  </si>
  <si>
    <t>AAPL170120C00100000</t>
  </si>
  <si>
    <t>AAPL170120P00100000</t>
  </si>
  <si>
    <t>AAPL170120C00105000</t>
  </si>
  <si>
    <t>AAPL170120P00105000</t>
  </si>
  <si>
    <t>AAPL170120C00110000</t>
  </si>
  <si>
    <t>AAPL170120P00110000</t>
  </si>
  <si>
    <t>AAPL170120C00115000</t>
  </si>
  <si>
    <t>AAPL170120P00115000</t>
  </si>
  <si>
    <t>AAPL170120C00120000</t>
  </si>
  <si>
    <t>AAPL170120P00120000</t>
  </si>
  <si>
    <t>AAPL170120C00125000</t>
  </si>
  <si>
    <t>AAPL170120P00125000</t>
  </si>
  <si>
    <t>AAPL170120C00130000</t>
  </si>
  <si>
    <t>AAPL170120P00130000</t>
  </si>
  <si>
    <t>AAPL170120C00135000</t>
  </si>
  <si>
    <t>AAPL170120P00135000</t>
  </si>
  <si>
    <t>AAPL170120C00140000</t>
  </si>
  <si>
    <t>AAPL170120P00140000</t>
  </si>
  <si>
    <t>AAPL170120C00145000</t>
  </si>
  <si>
    <t>AAPL170120P00145000</t>
  </si>
  <si>
    <t>AAPL170120C00150000</t>
  </si>
  <si>
    <t>AAPL170120P00150000</t>
  </si>
  <si>
    <t>AAPL170120C00155000</t>
  </si>
  <si>
    <t>AAPL170120P00155000</t>
  </si>
  <si>
    <t>AAPL170120C00160000</t>
  </si>
  <si>
    <t>AAPL170120P00160000</t>
  </si>
  <si>
    <t>AAPL170120C00165000</t>
  </si>
  <si>
    <t>AAPL170120P00165000</t>
  </si>
  <si>
    <t>AAPL170120C00170000</t>
  </si>
  <si>
    <t>AAPL170120P00170000</t>
  </si>
  <si>
    <t>AAPL170120C00175000</t>
  </si>
  <si>
    <t>AAPL170120P00175000</t>
  </si>
  <si>
    <t>AAPL170120C00180000</t>
  </si>
  <si>
    <t>AAPL170120P00180000</t>
  </si>
  <si>
    <t>AAPL170120C00185000</t>
  </si>
  <si>
    <t>AAPL170120P00185000</t>
  </si>
  <si>
    <t>AAPL170120C00190000</t>
  </si>
  <si>
    <t>AAPL170120P00190000</t>
  </si>
  <si>
    <t>AAPL170120C00195000</t>
  </si>
  <si>
    <t>AAPL170120P00195000</t>
  </si>
  <si>
    <t>AAPL170120C00200000</t>
  </si>
  <si>
    <t>AAPL170120P00200000</t>
  </si>
  <si>
    <t>AAPL170120C00205000</t>
  </si>
  <si>
    <t>AAPL170120P00205000</t>
  </si>
  <si>
    <t>AAPL170616C00047500</t>
  </si>
  <si>
    <t>AAPL170616P00047500</t>
  </si>
  <si>
    <t>AAPL170616C00050000</t>
  </si>
  <si>
    <t>AAPL170616P00050000</t>
  </si>
  <si>
    <t>AAPL170616C00055000</t>
  </si>
  <si>
    <t>AAPL170616P00055000</t>
  </si>
  <si>
    <t>AAPL170616C00060000</t>
  </si>
  <si>
    <t>AAPL170616P00060000</t>
  </si>
  <si>
    <t>AAPL170616C00065000</t>
  </si>
  <si>
    <t>AAPL170616P00065000</t>
  </si>
  <si>
    <t>AAPL170616C00070000</t>
  </si>
  <si>
    <t>AAPL170616P00070000</t>
  </si>
  <si>
    <t>AAPL170616C00075000</t>
  </si>
  <si>
    <t>AAPL170616P00075000</t>
  </si>
  <si>
    <t>AAPL170616C00080000</t>
  </si>
  <si>
    <t>AAPL170616P00080000</t>
  </si>
  <si>
    <t>AAPL170616C00085000</t>
  </si>
  <si>
    <t>AAPL170616P00085000</t>
  </si>
  <si>
    <t>AAPL170616C00087500</t>
  </si>
  <si>
    <t>AAPL170616P00087500</t>
  </si>
  <si>
    <t>AAPL170616C00090000</t>
  </si>
  <si>
    <t>AAPL170616P00090000</t>
  </si>
  <si>
    <t>AAPL170616C00092500</t>
  </si>
  <si>
    <t>AAPL170616P00092500</t>
  </si>
  <si>
    <t>AAPL170616C00095000</t>
  </si>
  <si>
    <t>AAPL170616P00095000</t>
  </si>
  <si>
    <t>AAPL170616C00097500</t>
  </si>
  <si>
    <t>AAPL170616P00097500</t>
  </si>
  <si>
    <t>AAPL170616C00100000</t>
  </si>
  <si>
    <t>AAPL170616P00100000</t>
  </si>
  <si>
    <t>AAPL170616C00105000</t>
  </si>
  <si>
    <t>AAPL170616P00105000</t>
  </si>
  <si>
    <t>AAPL170616C00110000</t>
  </si>
  <si>
    <t>AAPL170616P00110000</t>
  </si>
  <si>
    <t>AAPL170616C00115000</t>
  </si>
  <si>
    <t>AAPL170616P00115000</t>
  </si>
  <si>
    <t>AAPL170616C00120000</t>
  </si>
  <si>
    <t>AAPL170616P00120000</t>
  </si>
  <si>
    <t>AAPL170616C00125000</t>
  </si>
  <si>
    <t>AAPL170616P00125000</t>
  </si>
  <si>
    <t>AAPL170616C00130000</t>
  </si>
  <si>
    <t>AAPL170616P00130000</t>
  </si>
  <si>
    <t>AAPL170616C00135000</t>
  </si>
  <si>
    <t>AAPL170616P00135000</t>
  </si>
  <si>
    <t>AAPL170616C00140000</t>
  </si>
  <si>
    <t>AAPL170616P00140000</t>
  </si>
  <si>
    <t>AAPL170616C00145000</t>
  </si>
  <si>
    <t>AAPL170616P00145000</t>
  </si>
  <si>
    <t>AAPL170616C00150000</t>
  </si>
  <si>
    <t>AAPL170616P00150000</t>
  </si>
  <si>
    <t>AAPL170616C00155000</t>
  </si>
  <si>
    <t>AAPL170616P00155000</t>
  </si>
  <si>
    <t>AAPL170616C00160000</t>
  </si>
  <si>
    <t>AAPL170616P00160000</t>
  </si>
  <si>
    <t>AAPL170616C00165000</t>
  </si>
  <si>
    <t>AAPL170616P00165000</t>
  </si>
  <si>
    <t>AAPL180119C00047500</t>
  </si>
  <si>
    <t>AAPL180119P00047500</t>
  </si>
  <si>
    <t>AAPL180119C00050000</t>
  </si>
  <si>
    <t>AAPL180119P00050000</t>
  </si>
  <si>
    <t>AAPL180119C00055000</t>
  </si>
  <si>
    <t>AAPL180119P00055000</t>
  </si>
  <si>
    <t>AAPL180119C00060000</t>
  </si>
  <si>
    <t>AAPL180119P00060000</t>
  </si>
  <si>
    <t>AAPL180119C00065000</t>
  </si>
  <si>
    <t>AAPL180119P00065000</t>
  </si>
  <si>
    <t>AAPL180119C00070000</t>
  </si>
  <si>
    <t>AAPL180119P00070000</t>
  </si>
  <si>
    <t>AAPL180119C00075000</t>
  </si>
  <si>
    <t>AAPL180119P00075000</t>
  </si>
  <si>
    <t>AAPL180119C00080000</t>
  </si>
  <si>
    <t>AAPL180119P00080000</t>
  </si>
  <si>
    <t>AAPL180119C00085000</t>
  </si>
  <si>
    <t>AAPL180119P00085000</t>
  </si>
  <si>
    <t>AAPL180119C00087500</t>
  </si>
  <si>
    <t>AAPL180119P00087500</t>
  </si>
  <si>
    <t>AAPL180119C00090000</t>
  </si>
  <si>
    <t>AAPL180119P00090000</t>
  </si>
  <si>
    <t>AAPL180119C00092500</t>
  </si>
  <si>
    <t>AAPL180119P00092500</t>
  </si>
  <si>
    <t>AAPL180119C00095000</t>
  </si>
  <si>
    <t>AAPL180119P00095000</t>
  </si>
  <si>
    <t>AAPL180119C00097500</t>
  </si>
  <si>
    <t>AAPL180119P00097500</t>
  </si>
  <si>
    <t>AAPL180119C00100000</t>
  </si>
  <si>
    <t>AAPL180119P00100000</t>
  </si>
  <si>
    <t>AAPL180119C00105000</t>
  </si>
  <si>
    <t>AAPL180119P00105000</t>
  </si>
  <si>
    <t>AAPL180119C00110000</t>
  </si>
  <si>
    <t>AAPL180119P00110000</t>
  </si>
  <si>
    <t>AAPL180119C00115000</t>
  </si>
  <si>
    <t>AAPL180119P00115000</t>
  </si>
  <si>
    <t>AAPL180119C00120000</t>
  </si>
  <si>
    <t>AAPL180119P00120000</t>
  </si>
  <si>
    <t>AAPL180119C00125000</t>
  </si>
  <si>
    <t>AAPL180119P00125000</t>
  </si>
  <si>
    <t>AAPL180119C00130000</t>
  </si>
  <si>
    <t>AAPL180119P00130000</t>
  </si>
  <si>
    <t>AAPL180119C00135000</t>
  </si>
  <si>
    <t>AAPL180119P00135000</t>
  </si>
  <si>
    <t>AAPL180119C00140000</t>
  </si>
  <si>
    <t>AAPL180119P00140000</t>
  </si>
  <si>
    <t>AAPL180119C00145000</t>
  </si>
  <si>
    <t>AAPL180119P00145000</t>
  </si>
  <si>
    <t>AAPL180119C00150000</t>
  </si>
  <si>
    <t>AAPL180119P00150000</t>
  </si>
  <si>
    <t>AAPL180119C00155000</t>
  </si>
  <si>
    <t>AAPL180119P00155000</t>
  </si>
  <si>
    <t>AAPL180119C00160000</t>
  </si>
  <si>
    <t>AAPL180119P00160000</t>
  </si>
  <si>
    <t>AAPL180119C00165000</t>
  </si>
  <si>
    <t>AAPL180119P00165000</t>
  </si>
  <si>
    <t>AAPL180119C00170000</t>
  </si>
  <si>
    <t>AAPL180119P00170000</t>
  </si>
  <si>
    <t>AAPL180119C00175000</t>
  </si>
  <si>
    <t>AAPL180119P00175000</t>
  </si>
  <si>
    <t>AAPL180119C00180000</t>
  </si>
  <si>
    <t>AAPL180119P00180000</t>
  </si>
  <si>
    <t>GOOG160617C00750000</t>
  </si>
  <si>
    <t>GOOG160617P00750000</t>
  </si>
  <si>
    <t>GOOG160617C00755000</t>
  </si>
  <si>
    <t>GOOG160617P00755000</t>
  </si>
  <si>
    <t>GOOG160617C00760000</t>
  </si>
  <si>
    <t>GOOG160617P00760000</t>
  </si>
  <si>
    <t>GOOG160617C00765000</t>
  </si>
  <si>
    <t>GOOG160617P00765000</t>
  </si>
  <si>
    <t>GOOG160617C00770000</t>
  </si>
  <si>
    <t>GOOG160617P00770000</t>
  </si>
  <si>
    <t>GOOG160617C00775000</t>
  </si>
  <si>
    <t>GOOG160617P00775000</t>
  </si>
  <si>
    <t>GOOG160617C00780000</t>
  </si>
  <si>
    <t>GOOG160617P00780000</t>
  </si>
  <si>
    <t>GOOG160617C00785000</t>
  </si>
  <si>
    <t>GOOG160617P00785000</t>
  </si>
  <si>
    <t>GOOG160617C00790000</t>
  </si>
  <si>
    <t>GOOG160617P00790000</t>
  </si>
  <si>
    <t>GOOG160617C00795000</t>
  </si>
  <si>
    <t>GOOG160617P00795000</t>
  </si>
  <si>
    <t>GOOG160617C00800000</t>
  </si>
  <si>
    <t>GOOG160617P00800000</t>
  </si>
  <si>
    <t>GOOG160617C00805000</t>
  </si>
  <si>
    <t>GOOG160617P00805000</t>
  </si>
  <si>
    <t>GOOG160617C00810000</t>
  </si>
  <si>
    <t>GOOG160617P00810000</t>
  </si>
  <si>
    <t>GOOG160617C00815000</t>
  </si>
  <si>
    <t>GOOG160617P00815000</t>
  </si>
  <si>
    <t>GOOG160617C00820000</t>
  </si>
  <si>
    <t>GOOG160617P00820000</t>
  </si>
  <si>
    <t>GOOG160617C00825000</t>
  </si>
  <si>
    <t>GOOG160617P00825000</t>
  </si>
  <si>
    <t>GOOG160617C00830000</t>
  </si>
  <si>
    <t>GOOG160617P00830000</t>
  </si>
  <si>
    <t>GOOG160617C00835000</t>
  </si>
  <si>
    <t>GOOG160617P00835000</t>
  </si>
  <si>
    <t>GOOG160617C00840000</t>
  </si>
  <si>
    <t>GOOG160617P00840000</t>
  </si>
  <si>
    <t>GOOG160617C00845000</t>
  </si>
  <si>
    <t>GOOG160617P00845000</t>
  </si>
  <si>
    <t>GOOG160617C00850000</t>
  </si>
  <si>
    <t>GOOG160617P00850000</t>
  </si>
  <si>
    <t>GOOG160617C00855000</t>
  </si>
  <si>
    <t>GOOG160617P00855000</t>
  </si>
  <si>
    <t>GOOG160617C00860000</t>
  </si>
  <si>
    <t>GOOG160617P00860000</t>
  </si>
  <si>
    <t>GOOG160617C00865000</t>
  </si>
  <si>
    <t>GOOG160617P00865000</t>
  </si>
  <si>
    <t>GOOG160617C00870000</t>
  </si>
  <si>
    <t>GOOG160617P00870000</t>
  </si>
  <si>
    <t>GOOG160617C00875000</t>
  </si>
  <si>
    <t>GOOG160617P00875000</t>
  </si>
  <si>
    <t>GOOG160617C00880000</t>
  </si>
  <si>
    <t>GOOG160617P00880000</t>
  </si>
  <si>
    <t>GOOG160617C00885000</t>
  </si>
  <si>
    <t>GOOG160617P00885000</t>
  </si>
  <si>
    <t>GOOG160617C00890000</t>
  </si>
  <si>
    <t>GOOG160617P00890000</t>
  </si>
  <si>
    <t>GOOG160617C00900000</t>
  </si>
  <si>
    <t>GOOG160617P00900000</t>
  </si>
  <si>
    <t>GOOG160617C00915000</t>
  </si>
  <si>
    <t>GOOG160617P00915000</t>
  </si>
  <si>
    <t>GOOG160617C00920000</t>
  </si>
  <si>
    <t>GOOG160617P00920000</t>
  </si>
  <si>
    <t>GOOG160617C00940000</t>
  </si>
  <si>
    <t>GOOG160617P00940000</t>
  </si>
  <si>
    <t>GOOG160617C00960000</t>
  </si>
  <si>
    <t>GOOG160617P00960000</t>
  </si>
  <si>
    <t>GOOG160617C00980000</t>
  </si>
  <si>
    <t>GOOG160617P00980000</t>
  </si>
  <si>
    <t>GOOG160617C01000000</t>
  </si>
  <si>
    <t>GOOG160617P01000000</t>
  </si>
  <si>
    <t>GOOG160617C01020000</t>
  </si>
  <si>
    <t>GOOG160617P01020000</t>
  </si>
  <si>
    <t>GOOG160715C00560000</t>
  </si>
  <si>
    <t>GOOG160715P00560000</t>
  </si>
  <si>
    <t>GOOG160715C00565000</t>
  </si>
  <si>
    <t>GOOG160715P00565000</t>
  </si>
  <si>
    <t>GOOG160715C00570000</t>
  </si>
  <si>
    <t>GOOG160715P00570000</t>
  </si>
  <si>
    <t>GOOG160715C00575000</t>
  </si>
  <si>
    <t>GOOG160715P00575000</t>
  </si>
  <si>
    <t>GOOG160715C00580000</t>
  </si>
  <si>
    <t>GOOG160715P00580000</t>
  </si>
  <si>
    <t>GOOG160715C00585000</t>
  </si>
  <si>
    <t>GOOG160715P00585000</t>
  </si>
  <si>
    <t>GOOG160715C00590000</t>
  </si>
  <si>
    <t>GOOG160715P00590000</t>
  </si>
  <si>
    <t>GOOG160715C00595000</t>
  </si>
  <si>
    <t>GOOG160715P00595000</t>
  </si>
  <si>
    <t>GOOG160715C00600000</t>
  </si>
  <si>
    <t>GOOG160715P00600000</t>
  </si>
  <si>
    <t>GOOG160715C00605000</t>
  </si>
  <si>
    <t>GOOG160715P00605000</t>
  </si>
  <si>
    <t>GOOG160715C00610000</t>
  </si>
  <si>
    <t>GOOG160715P00610000</t>
  </si>
  <si>
    <t>GOOG160715C00615000</t>
  </si>
  <si>
    <t>GOOG160715P00615000</t>
  </si>
  <si>
    <t>GOOG160715C00620000</t>
  </si>
  <si>
    <t>GOOG160715P00620000</t>
  </si>
  <si>
    <t>GOOG160715C00625000</t>
  </si>
  <si>
    <t>GOOG160715P00625000</t>
  </si>
  <si>
    <t>GOOG160715C00630000</t>
  </si>
  <si>
    <t>GOOG160715P00630000</t>
  </si>
  <si>
    <t>GOOG160715C00635000</t>
  </si>
  <si>
    <t>GOOG160715P00635000</t>
  </si>
  <si>
    <t>GOOG160715C00640000</t>
  </si>
  <si>
    <t>GOOG160715P00640000</t>
  </si>
  <si>
    <t>GOOG160715C00645000</t>
  </si>
  <si>
    <t>GOOG160715P00645000</t>
  </si>
  <si>
    <t>GOOG160715C00650000</t>
  </si>
  <si>
    <t>GOOG160715P00650000</t>
  </si>
  <si>
    <t>GOOG160715C00655000</t>
  </si>
  <si>
    <t>GOOG160715P00655000</t>
  </si>
  <si>
    <t>GOOG160715C00660000</t>
  </si>
  <si>
    <t>GOOG160715P00660000</t>
  </si>
  <si>
    <t>GOOG160715C00665000</t>
  </si>
  <si>
    <t>GOOG160715P00665000</t>
  </si>
  <si>
    <t>GOOG160715C00670000</t>
  </si>
  <si>
    <t>GOOG160715P00670000</t>
  </si>
  <si>
    <t>GOOG160715C00675000</t>
  </si>
  <si>
    <t>GOOG160715P00675000</t>
  </si>
  <si>
    <t>GOOG160715C00680000</t>
  </si>
  <si>
    <t>GOOG160715P00680000</t>
  </si>
  <si>
    <t>GOOG160715C00685000</t>
  </si>
  <si>
    <t>GOOG160715P00685000</t>
  </si>
  <si>
    <t>GOOG160715C00690000</t>
  </si>
  <si>
    <t>GOOG160715P00690000</t>
  </si>
  <si>
    <t>GOOG160715C00695000</t>
  </si>
  <si>
    <t>GOOG160715P00695000</t>
  </si>
  <si>
    <t>GOOG160715C00700000</t>
  </si>
  <si>
    <t>GOOG160715P00700000</t>
  </si>
  <si>
    <t>GOOG160715C00705000</t>
  </si>
  <si>
    <t>GOOG160715P00705000</t>
  </si>
  <si>
    <t>GOOG160715C00710000</t>
  </si>
  <si>
    <t>GOOG160715P00710000</t>
  </si>
  <si>
    <t>GOOG160715C00715000</t>
  </si>
  <si>
    <t>GOOG160715P00715000</t>
  </si>
  <si>
    <t>GOOG160715C00720000</t>
  </si>
  <si>
    <t>GOOG160715P00720000</t>
  </si>
  <si>
    <t>GOOG160715C00725000</t>
  </si>
  <si>
    <t>GOOG160715P00725000</t>
  </si>
  <si>
    <t>GOOG160715C00730000</t>
  </si>
  <si>
    <t>GOOG160715P00730000</t>
  </si>
  <si>
    <t>GOOG160715C00735000</t>
  </si>
  <si>
    <t>GOOG160715P00735000</t>
  </si>
  <si>
    <t>GOOG160715C00740000</t>
  </si>
  <si>
    <t>GOOG160715P00740000</t>
  </si>
  <si>
    <t>GOOG160715C00745000</t>
  </si>
  <si>
    <t>GOOG160715P00745000</t>
  </si>
  <si>
    <t>GOOG160715C00750000</t>
  </si>
  <si>
    <t>GOOG160715P00750000</t>
  </si>
  <si>
    <t>GOOG160715C00755000</t>
  </si>
  <si>
    <t>GOOG160715P00755000</t>
  </si>
  <si>
    <t>GOOG160715C00760000</t>
  </si>
  <si>
    <t>GOOG160715P00760000</t>
  </si>
  <si>
    <t>GOOG160715C00765000</t>
  </si>
  <si>
    <t>GOOG160715P00765000</t>
  </si>
  <si>
    <t>GOOG160715C00770000</t>
  </si>
  <si>
    <t>GOOG160715P00770000</t>
  </si>
  <si>
    <t>GOOG160715C00775000</t>
  </si>
  <si>
    <t>GOOG160715P00775000</t>
  </si>
  <si>
    <t>GOOG160715C00780000</t>
  </si>
  <si>
    <t>GOOG160715P00780000</t>
  </si>
  <si>
    <t>GOOG160715C00785000</t>
  </si>
  <si>
    <t>GOOG160715P00785000</t>
  </si>
  <si>
    <t>GOOG160715C00790000</t>
  </si>
  <si>
    <t>GOOG160715P00790000</t>
  </si>
  <si>
    <t>GOOG160715C00795000</t>
  </si>
  <si>
    <t>GOOG160715P00795000</t>
  </si>
  <si>
    <t>GOOG160715C00800000</t>
  </si>
  <si>
    <t>GOOG160715P00800000</t>
  </si>
  <si>
    <t>GOOG160715C00805000</t>
  </si>
  <si>
    <t>GOOG160715P00805000</t>
  </si>
  <si>
    <t>GOOG160715C00810000</t>
  </si>
  <si>
    <t>GOOG160715P00810000</t>
  </si>
  <si>
    <t>GOOG160715C00815000</t>
  </si>
  <si>
    <t>GOOG160715P00815000</t>
  </si>
  <si>
    <t>GOOG160715C00820000</t>
  </si>
  <si>
    <t>GOOG160715P00820000</t>
  </si>
  <si>
    <t>GOOG160715C00825000</t>
  </si>
  <si>
    <t>GOOG160715P00825000</t>
  </si>
  <si>
    <t>GOOG160715C00835000</t>
  </si>
  <si>
    <t>GOOG160715P00835000</t>
  </si>
  <si>
    <t>GOOG160715C00840000</t>
  </si>
  <si>
    <t>GOOG160715P00840000</t>
  </si>
  <si>
    <t>GOOG160715C00845000</t>
  </si>
  <si>
    <t>GOOG160715P00845000</t>
  </si>
  <si>
    <t>GOOG160715C00850000</t>
  </si>
  <si>
    <t>GOOG160715P00850000</t>
  </si>
  <si>
    <t>GOOG160715C00855000</t>
  </si>
  <si>
    <t>GOOG160715P00855000</t>
  </si>
  <si>
    <t>GOOG160715C00860000</t>
  </si>
  <si>
    <t>GOOG160715P00860000</t>
  </si>
  <si>
    <t>GOOG160715C00880000</t>
  </si>
  <si>
    <t>GOOG160715P00880000</t>
  </si>
  <si>
    <t>GOOG160715C00900000</t>
  </si>
  <si>
    <t>GOOG160715P00900000</t>
  </si>
  <si>
    <t>GOOG160715C00910000</t>
  </si>
  <si>
    <t>GOOG160715P00910000</t>
  </si>
  <si>
    <t>GOOG160916C00390000</t>
  </si>
  <si>
    <t>GOOG160916P00390000</t>
  </si>
  <si>
    <t>GOOG160916C00400000</t>
  </si>
  <si>
    <t>GOOG160916P00400000</t>
  </si>
  <si>
    <t>GOOG160916C00410000</t>
  </si>
  <si>
    <t>GOOG160916P00410000</t>
  </si>
  <si>
    <t>GOOG160916C00420000</t>
  </si>
  <si>
    <t>GOOG160916P00420000</t>
  </si>
  <si>
    <t>GOOG160916C00430000</t>
  </si>
  <si>
    <t>GOOG160916P00430000</t>
  </si>
  <si>
    <t>GOOG160916C00440000</t>
  </si>
  <si>
    <t>GOOG160916P00440000</t>
  </si>
  <si>
    <t>GOOG160916C00450000</t>
  </si>
  <si>
    <t>GOOG160916P00450000</t>
  </si>
  <si>
    <t>GOOG160916C00460000</t>
  </si>
  <si>
    <t>GOOG160916P00460000</t>
  </si>
  <si>
    <t>GOOG160916C00470000</t>
  </si>
  <si>
    <t>GOOG160916P00470000</t>
  </si>
  <si>
    <t>GOOG160916C00480000</t>
  </si>
  <si>
    <t>GOOG160916P00480000</t>
  </si>
  <si>
    <t>GOOG160916C00490000</t>
  </si>
  <si>
    <t>GOOG160916P00490000</t>
  </si>
  <si>
    <t>GOOG160916C00500000</t>
  </si>
  <si>
    <t>GOOG160916P00500000</t>
  </si>
  <si>
    <t>GOOG160916C00520000</t>
  </si>
  <si>
    <t>GOOG160916P00520000</t>
  </si>
  <si>
    <t>GOOG160916C00540000</t>
  </si>
  <si>
    <t>GOOG160916P00540000</t>
  </si>
  <si>
    <t>GOOG160916C00560000</t>
  </si>
  <si>
    <t>GOOG160916P00560000</t>
  </si>
  <si>
    <t>GOOG160916C00580000</t>
  </si>
  <si>
    <t>GOOG160916P00580000</t>
  </si>
  <si>
    <t>GOOG160916C00600000</t>
  </si>
  <si>
    <t>GOOG160916P00600000</t>
  </si>
  <si>
    <t>GOOG160916C00605000</t>
  </si>
  <si>
    <t>GOOG160916P00605000</t>
  </si>
  <si>
    <t>GOOG160916C00610000</t>
  </si>
  <si>
    <t>GOOG160916P00610000</t>
  </si>
  <si>
    <t>GOOG160916C00615000</t>
  </si>
  <si>
    <t>GOOG160916P00615000</t>
  </si>
  <si>
    <t>GOOG160916C00620000</t>
  </si>
  <si>
    <t>GOOG160916P00620000</t>
  </si>
  <si>
    <t>GOOG160916C00625000</t>
  </si>
  <si>
    <t>GOOG160916P00625000</t>
  </si>
  <si>
    <t>GOOG160916C00630000</t>
  </si>
  <si>
    <t>GOOG160916P00630000</t>
  </si>
  <si>
    <t>GOOG160916C00635000</t>
  </si>
  <si>
    <t>GOOG160916P00635000</t>
  </si>
  <si>
    <t>GOOG160916C00640000</t>
  </si>
  <si>
    <t>GOOG160916P00640000</t>
  </si>
  <si>
    <t>GOOG160916C00645000</t>
  </si>
  <si>
    <t>GOOG160916P00645000</t>
  </si>
  <si>
    <t>GOOG160916C00650000</t>
  </si>
  <si>
    <t>GOOG160916P00650000</t>
  </si>
  <si>
    <t>GOOG160916C00655000</t>
  </si>
  <si>
    <t>GOOG160916P00655000</t>
  </si>
  <si>
    <t>GOOG160916C00660000</t>
  </si>
  <si>
    <t>GOOG160916P00660000</t>
  </si>
  <si>
    <t>GOOG160916C00665000</t>
  </si>
  <si>
    <t>GOOG160916P00665000</t>
  </si>
  <si>
    <t>GOOG160916C00670000</t>
  </si>
  <si>
    <t>GOOG160916P00670000</t>
  </si>
  <si>
    <t>GOOG160916C00675000</t>
  </si>
  <si>
    <t>GOOG160916P00675000</t>
  </si>
  <si>
    <t>GOOG160916C00680000</t>
  </si>
  <si>
    <t>GOOG160916P00680000</t>
  </si>
  <si>
    <t>GOOG160916C00685000</t>
  </si>
  <si>
    <t>GOOG160916P00685000</t>
  </si>
  <si>
    <t>GOOG160916C00690000</t>
  </si>
  <si>
    <t>GOOG160916P00690000</t>
  </si>
  <si>
    <t>GOOG160916C00695000</t>
  </si>
  <si>
    <t>GOOG160916P00695000</t>
  </si>
  <si>
    <t>GOOG160916C00700000</t>
  </si>
  <si>
    <t>GOOG160916P00700000</t>
  </si>
  <si>
    <t>GOOG160916C00705000</t>
  </si>
  <si>
    <t>GOOG160916P00705000</t>
  </si>
  <si>
    <t>GOOG160916C00710000</t>
  </si>
  <si>
    <t>GOOG160916P00710000</t>
  </si>
  <si>
    <t>GOOG160916C00715000</t>
  </si>
  <si>
    <t>GOOG160916P00715000</t>
  </si>
  <si>
    <t>GOOG160916C00720000</t>
  </si>
  <si>
    <t>GOOG160916P00720000</t>
  </si>
  <si>
    <t>GOOG160916C00725000</t>
  </si>
  <si>
    <t>GOOG160916P00725000</t>
  </si>
  <si>
    <t>GOOG160916C00730000</t>
  </si>
  <si>
    <t>GOOG160916P00730000</t>
  </si>
  <si>
    <t>GOOG160916C00735000</t>
  </si>
  <si>
    <t>GOOG160916P00735000</t>
  </si>
  <si>
    <t>GOOG160916C00740000</t>
  </si>
  <si>
    <t>GOOG160916P00740000</t>
  </si>
  <si>
    <t>GOOG160916C00745000</t>
  </si>
  <si>
    <t>GOOG160916P00745000</t>
  </si>
  <si>
    <t>GOOG160916C00750000</t>
  </si>
  <si>
    <t>GOOG160916P00750000</t>
  </si>
  <si>
    <t>GOOG160916C00755000</t>
  </si>
  <si>
    <t>GOOG160916P00755000</t>
  </si>
  <si>
    <t>GOOG160916C00760000</t>
  </si>
  <si>
    <t>GOOG160916P00760000</t>
  </si>
  <si>
    <t>GOOG160916C00765000</t>
  </si>
  <si>
    <t>GOOG160916P00765000</t>
  </si>
  <si>
    <t>GOOG160916C00770000</t>
  </si>
  <si>
    <t>GOOG160916P00770000</t>
  </si>
  <si>
    <t>GOOG160916C00775000</t>
  </si>
  <si>
    <t>GOOG160916P00775000</t>
  </si>
  <si>
    <t>GOOG160916C00780000</t>
  </si>
  <si>
    <t>GOOG160916P00780000</t>
  </si>
  <si>
    <t>GOOG160916C00785000</t>
  </si>
  <si>
    <t>GOOG160916P00785000</t>
  </si>
  <si>
    <t>GOOG160916C00790000</t>
  </si>
  <si>
    <t>GOOG160916P00790000</t>
  </si>
  <si>
    <t>GOOG160916C00795000</t>
  </si>
  <si>
    <t>GOOG160916P00795000</t>
  </si>
  <si>
    <t>GOOG160916C00800000</t>
  </si>
  <si>
    <t>GOOG160916P00800000</t>
  </si>
  <si>
    <t>GOOG160916C00805000</t>
  </si>
  <si>
    <t>GOOG160916P00805000</t>
  </si>
  <si>
    <t>GOOG160916C00810000</t>
  </si>
  <si>
    <t>GOOG160916P00810000</t>
  </si>
  <si>
    <t>GOOG160916C00815000</t>
  </si>
  <si>
    <t>GOOG160916P00815000</t>
  </si>
  <si>
    <t>GOOG160916C00820000</t>
  </si>
  <si>
    <t>GOOG160916P00820000</t>
  </si>
  <si>
    <t>GOOG160916C00840000</t>
  </si>
  <si>
    <t>GOOG160916P00840000</t>
  </si>
  <si>
    <t>GOOG160916C00860000</t>
  </si>
  <si>
    <t>GOOG160916P00860000</t>
  </si>
  <si>
    <t>GOOG160916C00880000</t>
  </si>
  <si>
    <t>GOOG160916P00880000</t>
  </si>
  <si>
    <t>GOOG160916C00900000</t>
  </si>
  <si>
    <t>GOOG160916P00900000</t>
  </si>
  <si>
    <t>GOOG160916C00920000</t>
  </si>
  <si>
    <t>GOOG160916P00920000</t>
  </si>
  <si>
    <t>GOOG160916C00940000</t>
  </si>
  <si>
    <t>GOOG160916P00940000</t>
  </si>
  <si>
    <t>GOOG160916C00960000</t>
  </si>
  <si>
    <t>GOOG160916P00960000</t>
  </si>
  <si>
    <t>GOOG160916C00980000</t>
  </si>
  <si>
    <t>GOOG160916P00980000</t>
  </si>
  <si>
    <t>GOOG160916C01000000</t>
  </si>
  <si>
    <t>GOOG160916P01000000</t>
  </si>
  <si>
    <t>GOOG160916C01020000</t>
  </si>
  <si>
    <t>GOOG160916P01020000</t>
  </si>
  <si>
    <t>GOOG160916C01040000</t>
  </si>
  <si>
    <t>GOOG160916P01040000</t>
  </si>
  <si>
    <t>GOOG161216C00480000</t>
  </si>
  <si>
    <t>GOOG161216P00480000</t>
  </si>
  <si>
    <t>GOOG161216C00490000</t>
  </si>
  <si>
    <t>GOOG161216P00490000</t>
  </si>
  <si>
    <t>GOOG161216C00500000</t>
  </si>
  <si>
    <t>GOOG161216P00500000</t>
  </si>
  <si>
    <t>GOOG161216C00520000</t>
  </si>
  <si>
    <t>GOOG161216P00520000</t>
  </si>
  <si>
    <t>GOOG161216C00540000</t>
  </si>
  <si>
    <t>GOOG161216P00540000</t>
  </si>
  <si>
    <t>GOOG161216C00560000</t>
  </si>
  <si>
    <t>GOOG161216P00560000</t>
  </si>
  <si>
    <t>GOOG161216C00580000</t>
  </si>
  <si>
    <t>GOOG161216P00580000</t>
  </si>
  <si>
    <t>GOOG161216C00600000</t>
  </si>
  <si>
    <t>GOOG161216P00600000</t>
  </si>
  <si>
    <t>GOOG161216C00620000</t>
  </si>
  <si>
    <t>GOOG161216P00620000</t>
  </si>
  <si>
    <t>GOOG161216C00640000</t>
  </si>
  <si>
    <t>GOOG161216P00640000</t>
  </si>
  <si>
    <t>GOOG161216C00650000</t>
  </si>
  <si>
    <t>GOOG161216P00650000</t>
  </si>
  <si>
    <t>GOOG161216C00655000</t>
  </si>
  <si>
    <t>GOOG161216P00655000</t>
  </si>
  <si>
    <t>GOOG161216C00660000</t>
  </si>
  <si>
    <t>GOOG161216P00660000</t>
  </si>
  <si>
    <t>GOOG161216C00665000</t>
  </si>
  <si>
    <t>GOOG161216P00665000</t>
  </si>
  <si>
    <t>GOOG161216C00670000</t>
  </si>
  <si>
    <t>GOOG161216P00670000</t>
  </si>
  <si>
    <t>GOOG161216C00675000</t>
  </si>
  <si>
    <t>GOOG161216P00675000</t>
  </si>
  <si>
    <t>GOOG161216C00680000</t>
  </si>
  <si>
    <t>GOOG161216P00680000</t>
  </si>
  <si>
    <t>GOOG161216C00685000</t>
  </si>
  <si>
    <t>GOOG161216P00685000</t>
  </si>
  <si>
    <t>GOOG161216C00690000</t>
  </si>
  <si>
    <t>GOOG161216P00690000</t>
  </si>
  <si>
    <t>GOOG161216C00695000</t>
  </si>
  <si>
    <t>GOOG161216P00695000</t>
  </si>
  <si>
    <t>GOOG161216C00700000</t>
  </si>
  <si>
    <t>GOOG161216P00700000</t>
  </si>
  <si>
    <t>GOOG161216C00705000</t>
  </si>
  <si>
    <t>GOOG161216P00705000</t>
  </si>
  <si>
    <t>GOOG161216C00710000</t>
  </si>
  <si>
    <t>GOOG161216P00710000</t>
  </si>
  <si>
    <t>GOOG161216C00715000</t>
  </si>
  <si>
    <t>GOOG161216P00715000</t>
  </si>
  <si>
    <t>GOOG161216C00720000</t>
  </si>
  <si>
    <t>GOOG161216P00720000</t>
  </si>
  <si>
    <t>GOOG161216C00725000</t>
  </si>
  <si>
    <t>GOOG161216P00725000</t>
  </si>
  <si>
    <t>GOOG161216C00730000</t>
  </si>
  <si>
    <t>GOOG161216P00730000</t>
  </si>
  <si>
    <t>GOOG161216C00735000</t>
  </si>
  <si>
    <t>GOOG161216P00735000</t>
  </si>
  <si>
    <t>GOOG161216C00740000</t>
  </si>
  <si>
    <t>GOOG161216P00740000</t>
  </si>
  <si>
    <t>GOOG161216C00745000</t>
  </si>
  <si>
    <t>GOOG161216P00745000</t>
  </si>
  <si>
    <t>GOOG161216C00750000</t>
  </si>
  <si>
    <t>GOOG161216P00750000</t>
  </si>
  <si>
    <t>GOOG161216C00755000</t>
  </si>
  <si>
    <t>GOOG161216P00755000</t>
  </si>
  <si>
    <t>GOOG161216C00760000</t>
  </si>
  <si>
    <t>GOOG161216P00760000</t>
  </si>
  <si>
    <t>GOOG161216C00765000</t>
  </si>
  <si>
    <t>GOOG161216P00765000</t>
  </si>
  <si>
    <t>GOOG161216C00770000</t>
  </si>
  <si>
    <t>GOOG161216P00770000</t>
  </si>
  <si>
    <t>GOOG161216C00775000</t>
  </si>
  <si>
    <t>GOOG161216P00775000</t>
  </si>
  <si>
    <t>GOOG161216C00780000</t>
  </si>
  <si>
    <t>GOOG161216P00780000</t>
  </si>
  <si>
    <t>GOOG161216C00785000</t>
  </si>
  <si>
    <t>GOOG161216P00785000</t>
  </si>
  <si>
    <t>GOOG161216C00790000</t>
  </si>
  <si>
    <t>GOOG161216P00790000</t>
  </si>
  <si>
    <t>GOOG161216C00795000</t>
  </si>
  <si>
    <t>GOOG161216P00795000</t>
  </si>
  <si>
    <t>GOOG161216C00800000</t>
  </si>
  <si>
    <t>GOOG161216P00800000</t>
  </si>
  <si>
    <t>GOOG161216C00805000</t>
  </si>
  <si>
    <t>GOOG161216P00805000</t>
  </si>
  <si>
    <t>GOOG161216C00810000</t>
  </si>
  <si>
    <t>GOOG161216P00810000</t>
  </si>
  <si>
    <t>GOOG161216C00815000</t>
  </si>
  <si>
    <t>GOOG161216P00815000</t>
  </si>
  <si>
    <t>GOOG161216C00820000</t>
  </si>
  <si>
    <t>GOOG161216P00820000</t>
  </si>
  <si>
    <t>GOOG161216C00825000</t>
  </si>
  <si>
    <t>GOOG161216P00825000</t>
  </si>
  <si>
    <t>GOOG161216C00830000</t>
  </si>
  <si>
    <t>GOOG161216P00830000</t>
  </si>
  <si>
    <t>GOOG161216C00835000</t>
  </si>
  <si>
    <t>GOOG161216P00835000</t>
  </si>
  <si>
    <t>GOOG161216C00840000</t>
  </si>
  <si>
    <t>GOOG161216P00840000</t>
  </si>
  <si>
    <t>GOOG161216C00845000</t>
  </si>
  <si>
    <t>GOOG161216P00845000</t>
  </si>
  <si>
    <t>GOOG161216C00850000</t>
  </si>
  <si>
    <t>GOOG161216P00850000</t>
  </si>
  <si>
    <t>GOOG161216C00855000</t>
  </si>
  <si>
    <t>GOOG161216P00855000</t>
  </si>
  <si>
    <t>GOOG161216C00860000</t>
  </si>
  <si>
    <t>GOOG161216P00860000</t>
  </si>
  <si>
    <t>GOOG161216C00900000</t>
  </si>
  <si>
    <t>GOOG161216P00900000</t>
  </si>
  <si>
    <t>GOOG161216C00920000</t>
  </si>
  <si>
    <t>GOOG161216P00920000</t>
  </si>
  <si>
    <t>GOOG161216C00940000</t>
  </si>
  <si>
    <t>GOOG161216P00940000</t>
  </si>
  <si>
    <t>GOOG161216C00980000</t>
  </si>
  <si>
    <t>GOOG161216P00980000</t>
  </si>
  <si>
    <t>GOOG161216C01000000</t>
  </si>
  <si>
    <t>GOOG161216P01000000</t>
  </si>
  <si>
    <t>GOOG170120C00290000</t>
  </si>
  <si>
    <t>GOOG170120P00290000</t>
  </si>
  <si>
    <t>GOOG170120C00300000</t>
  </si>
  <si>
    <t>GOOG170120P00300000</t>
  </si>
  <si>
    <t>GOOG170120C00310000</t>
  </si>
  <si>
    <t>GOOG170120P00310000</t>
  </si>
  <si>
    <t>GOOG170120C00320000</t>
  </si>
  <si>
    <t>GOOG170120P00320000</t>
  </si>
  <si>
    <t>GOOG170120C00330000</t>
  </si>
  <si>
    <t>GOOG170120P00330000</t>
  </si>
  <si>
    <t>GOOG170120C00340000</t>
  </si>
  <si>
    <t>GOOG170120P00340000</t>
  </si>
  <si>
    <t>GOOG170120C00350000</t>
  </si>
  <si>
    <t>GOOG170120P00350000</t>
  </si>
  <si>
    <t>GOOG170120C00360000</t>
  </si>
  <si>
    <t>GOOG170120P00360000</t>
  </si>
  <si>
    <t>GOOG170120C00370000</t>
  </si>
  <si>
    <t>GOOG170120P00370000</t>
  </si>
  <si>
    <t>GOOG170120C00380000</t>
  </si>
  <si>
    <t>GOOG170120P00380000</t>
  </si>
  <si>
    <t>GOOG170120C00390000</t>
  </si>
  <si>
    <t>GOOG170120P00390000</t>
  </si>
  <si>
    <t>GOOG170120C00400000</t>
  </si>
  <si>
    <t>GOOG170120P00400000</t>
  </si>
  <si>
    <t>GOOG170120C00410000</t>
  </si>
  <si>
    <t>GOOG170120P00410000</t>
  </si>
  <si>
    <t>GOOG170120C00420000</t>
  </si>
  <si>
    <t>GOOG170120P00420000</t>
  </si>
  <si>
    <t>GOOG170120C00430000</t>
  </si>
  <si>
    <t>GOOG170120P00430000</t>
  </si>
  <si>
    <t>GOOG170120C00440000</t>
  </si>
  <si>
    <t>GOOG170120P00440000</t>
  </si>
  <si>
    <t>GOOG170120C00450000</t>
  </si>
  <si>
    <t>GOOG170120P00450000</t>
  </si>
  <si>
    <t>GOOG170120C00460000</t>
  </si>
  <si>
    <t>GOOG170120P00460000</t>
  </si>
  <si>
    <t>GOOG170120C00470000</t>
  </si>
  <si>
    <t>GOOG170120P00470000</t>
  </si>
  <si>
    <t>GOOG170120C00480000</t>
  </si>
  <si>
    <t>GOOG170120P00480000</t>
  </si>
  <si>
    <t>GOOG170120C00490000</t>
  </si>
  <si>
    <t>GOOG170120P00490000</t>
  </si>
  <si>
    <t>GOOG170120C00500000</t>
  </si>
  <si>
    <t>GOOG170120P00500000</t>
  </si>
  <si>
    <t>GOOG170120C00505000</t>
  </si>
  <si>
    <t>GOOG170120P00505000</t>
  </si>
  <si>
    <t>GOOG170120C00510000</t>
  </si>
  <si>
    <t>GOOG170120P00510000</t>
  </si>
  <si>
    <t>GOOG170120C00515000</t>
  </si>
  <si>
    <t>GOOG170120P00515000</t>
  </si>
  <si>
    <t>GOOG170120C00520000</t>
  </si>
  <si>
    <t>GOOG170120P00520000</t>
  </si>
  <si>
    <t>GOOG170120C00525000</t>
  </si>
  <si>
    <t>GOOG170120P00525000</t>
  </si>
  <si>
    <t>GOOG170120C00530000</t>
  </si>
  <si>
    <t>GOOG170120P00530000</t>
  </si>
  <si>
    <t>GOOG170120C00535000</t>
  </si>
  <si>
    <t>GOOG170120P00535000</t>
  </si>
  <si>
    <t>GOOG170120C00540000</t>
  </si>
  <si>
    <t>GOOG170120P00540000</t>
  </si>
  <si>
    <t>GOOG170120C00545000</t>
  </si>
  <si>
    <t>GOOG170120P00545000</t>
  </si>
  <si>
    <t>GOOG170120C00550000</t>
  </si>
  <si>
    <t>GOOG170120P00550000</t>
  </si>
  <si>
    <t>GOOG170120C00555000</t>
  </si>
  <si>
    <t>GOOG170120P00555000</t>
  </si>
  <si>
    <t>GOOG170120C00560000</t>
  </si>
  <si>
    <t>GOOG170120P00560000</t>
  </si>
  <si>
    <t>GOOG170120C00565000</t>
  </si>
  <si>
    <t>GOOG170120P00565000</t>
  </si>
  <si>
    <t>GOOG170120C00570000</t>
  </si>
  <si>
    <t>GOOG170120P00570000</t>
  </si>
  <si>
    <t>GOOG170120C00575000</t>
  </si>
  <si>
    <t>GOOG170120P00575000</t>
  </si>
  <si>
    <t>GOOG170120C00580000</t>
  </si>
  <si>
    <t>GOOG170120P00580000</t>
  </si>
  <si>
    <t>GOOG170120C00585000</t>
  </si>
  <si>
    <t>GOOG170120P00585000</t>
  </si>
  <si>
    <t>GOOG170120C00590000</t>
  </si>
  <si>
    <t>GOOG170120P00590000</t>
  </si>
  <si>
    <t>GOOG170120C00595000</t>
  </si>
  <si>
    <t>GOOG170120P00595000</t>
  </si>
  <si>
    <t>GOOG170120C00600000</t>
  </si>
  <si>
    <t>GOOG170120P00600000</t>
  </si>
  <si>
    <t>GOOG170120C00605000</t>
  </si>
  <si>
    <t>GOOG170120P00605000</t>
  </si>
  <si>
    <t>GOOG170120C00610000</t>
  </si>
  <si>
    <t>GOOG170120P00610000</t>
  </si>
  <si>
    <t>GOOG170120C00615000</t>
  </si>
  <si>
    <t>GOOG170120P00615000</t>
  </si>
  <si>
    <t>GOOG170120C00620000</t>
  </si>
  <si>
    <t>GOOG170120P00620000</t>
  </si>
  <si>
    <t>GOOG170120C00625000</t>
  </si>
  <si>
    <t>GOOG170120P00625000</t>
  </si>
  <si>
    <t>GOOG170120C00630000</t>
  </si>
  <si>
    <t>GOOG170120P00630000</t>
  </si>
  <si>
    <t>GOOG170120C00635000</t>
  </si>
  <si>
    <t>GOOG170120P00635000</t>
  </si>
  <si>
    <t>GOOG170120C00640000</t>
  </si>
  <si>
    <t>GOOG170120P00640000</t>
  </si>
  <si>
    <t>GOOG170120C00645000</t>
  </si>
  <si>
    <t>GOOG170120P00645000</t>
  </si>
  <si>
    <t>GOOG170120C00650000</t>
  </si>
  <si>
    <t>GOOG170120P00650000</t>
  </si>
  <si>
    <t>GOOG170120C00655000</t>
  </si>
  <si>
    <t>GOOG170120P00655000</t>
  </si>
  <si>
    <t>GOOG170120C00660000</t>
  </si>
  <si>
    <t>GOOG170120P00660000</t>
  </si>
  <si>
    <t>GOOG170120C00665000</t>
  </si>
  <si>
    <t>GOOG170120P00665000</t>
  </si>
  <si>
    <t>GOOG170120C00670000</t>
  </si>
  <si>
    <t>GOOG170120P00670000</t>
  </si>
  <si>
    <t>GOOG170120C00675000</t>
  </si>
  <si>
    <t>GOOG170120P00675000</t>
  </si>
  <si>
    <t>GOOG170120C00680000</t>
  </si>
  <si>
    <t>GOOG170120P00680000</t>
  </si>
  <si>
    <t>GOOG170120C00685000</t>
  </si>
  <si>
    <t>GOOG170120P00685000</t>
  </si>
  <si>
    <t>GOOG170120C00690000</t>
  </si>
  <si>
    <t>GOOG170120P00690000</t>
  </si>
  <si>
    <t>GOOG170120C00695000</t>
  </si>
  <si>
    <t>GOOG170120P00695000</t>
  </si>
  <si>
    <t>GOOG170120C00700000</t>
  </si>
  <si>
    <t>GOOG170120P00700000</t>
  </si>
  <si>
    <t>GOOG170120C00705000</t>
  </si>
  <si>
    <t>GOOG170120P00705000</t>
  </si>
  <si>
    <t>GOOG170120C00710000</t>
  </si>
  <si>
    <t>GOOG170120P00710000</t>
  </si>
  <si>
    <t>GOOG170120C00715000</t>
  </si>
  <si>
    <t>GOOG170120P00715000</t>
  </si>
  <si>
    <t>GOOG170120C00720000</t>
  </si>
  <si>
    <t>GOOG170120P00720000</t>
  </si>
  <si>
    <t>GOOG170120C00725000</t>
  </si>
  <si>
    <t>GOOG170120P00725000</t>
  </si>
  <si>
    <t>GOOG170120C00730000</t>
  </si>
  <si>
    <t>GOOG170120P00730000</t>
  </si>
  <si>
    <t>GOOG170120C00735000</t>
  </si>
  <si>
    <t>GOOG170120P00735000</t>
  </si>
  <si>
    <t>GOOG170120C00740000</t>
  </si>
  <si>
    <t>GOOG170120P00740000</t>
  </si>
  <si>
    <t>GOOG170120C00745000</t>
  </si>
  <si>
    <t>GOOG170120P00745000</t>
  </si>
  <si>
    <t>GOOG170120C00750000</t>
  </si>
  <si>
    <t>GOOG170120P00750000</t>
  </si>
  <si>
    <t>GOOG170120C00755000</t>
  </si>
  <si>
    <t>GOOG170120P00755000</t>
  </si>
  <si>
    <t>GOOG170120C00760000</t>
  </si>
  <si>
    <t>GOOG170120P00760000</t>
  </si>
  <si>
    <t>GOOG170120C00765000</t>
  </si>
  <si>
    <t>GOOG170120P00765000</t>
  </si>
  <si>
    <t>GOOG170120C00770000</t>
  </si>
  <si>
    <t>GOOG170120P00770000</t>
  </si>
  <si>
    <t>GOOG170120C00775000</t>
  </si>
  <si>
    <t>GOOG170120P00775000</t>
  </si>
  <si>
    <t>GOOG170120C00780000</t>
  </si>
  <si>
    <t>GOOG170120P00780000</t>
  </si>
  <si>
    <t>GOOG170120C00785000</t>
  </si>
  <si>
    <t>GOOG170120P00785000</t>
  </si>
  <si>
    <t>GOOG170120C00790000</t>
  </si>
  <si>
    <t>GOOG170120P00790000</t>
  </si>
  <si>
    <t>GOOG170120C00795000</t>
  </si>
  <si>
    <t>GOOG170120P00795000</t>
  </si>
  <si>
    <t>GOOG170120C00800000</t>
  </si>
  <si>
    <t>GOOG170120P00800000</t>
  </si>
  <si>
    <t>GOOG170120C00820000</t>
  </si>
  <si>
    <t>GOOG170120P00820000</t>
  </si>
  <si>
    <t>GOOG170120C00840000</t>
  </si>
  <si>
    <t>GOOG170120P00840000</t>
  </si>
  <si>
    <t>GOOG170120C00860000</t>
  </si>
  <si>
    <t>GOOG170120P00860000</t>
  </si>
  <si>
    <t>GOOG170120C00880000</t>
  </si>
  <si>
    <t>GOOG170120P00880000</t>
  </si>
  <si>
    <t>GOOG170120C00900000</t>
  </si>
  <si>
    <t>GOOG170120P00900000</t>
  </si>
  <si>
    <t>GOOG170120C00920000</t>
  </si>
  <si>
    <t>GOOG170120P00920000</t>
  </si>
  <si>
    <t>GOOG170120C00940000</t>
  </si>
  <si>
    <t>GOOG170120P00940000</t>
  </si>
  <si>
    <t>GOOG170120C00960000</t>
  </si>
  <si>
    <t>GOOG170120P00960000</t>
  </si>
  <si>
    <t>GOOG170120C00980000</t>
  </si>
  <si>
    <t>GOOG170120P00980000</t>
  </si>
  <si>
    <t>GOOG170120C01000000</t>
  </si>
  <si>
    <t>GOOG170120P01000000</t>
  </si>
  <si>
    <t>GOOG170120C01020000</t>
  </si>
  <si>
    <t>GOOG170120P01020000</t>
  </si>
  <si>
    <t>GOOG170120C01040000</t>
  </si>
  <si>
    <t>GOOG170120P01040000</t>
  </si>
  <si>
    <t>GOOG170120C01060000</t>
  </si>
  <si>
    <t>GOOG170120P01060000</t>
  </si>
  <si>
    <t>GOOG170120C01080000</t>
  </si>
  <si>
    <t>GOOG170120P01080000</t>
  </si>
  <si>
    <t>GOOG170120C01100000</t>
  </si>
  <si>
    <t>GOOG170120P01100000</t>
  </si>
  <si>
    <t>GOOG170120C01120000</t>
  </si>
  <si>
    <t>GOOG170120P01120000</t>
  </si>
  <si>
    <t>GOOG170120C01140000</t>
  </si>
  <si>
    <t>GOOG170120P01140000</t>
  </si>
  <si>
    <t>GOOG180119C00340000</t>
  </si>
  <si>
    <t>GOOG180119P00340000</t>
  </si>
  <si>
    <t>GOOG180119C00350000</t>
  </si>
  <si>
    <t>GOOG180119P00350000</t>
  </si>
  <si>
    <t>GOOG180119C00360000</t>
  </si>
  <si>
    <t>GOOG180119P00360000</t>
  </si>
  <si>
    <t>GOOG180119C00370000</t>
  </si>
  <si>
    <t>GOOG180119P00370000</t>
  </si>
  <si>
    <t>GOOG180119C00380000</t>
  </si>
  <si>
    <t>GOOG180119P00380000</t>
  </si>
  <si>
    <t>GOOG180119C00390000</t>
  </si>
  <si>
    <t>GOOG180119P00390000</t>
  </si>
  <si>
    <t>GOOG180119C00400000</t>
  </si>
  <si>
    <t>GOOG180119P00400000</t>
  </si>
  <si>
    <t>GOOG180119C00410000</t>
  </si>
  <si>
    <t>GOOG180119P00410000</t>
  </si>
  <si>
    <t>GOOG180119C00420000</t>
  </si>
  <si>
    <t>GOOG180119P00420000</t>
  </si>
  <si>
    <t>GOOG180119C00430000</t>
  </si>
  <si>
    <t>GOOG180119P00430000</t>
  </si>
  <si>
    <t>GOOG180119C00440000</t>
  </si>
  <si>
    <t>GOOG180119P00440000</t>
  </si>
  <si>
    <t>GOOG180119C00450000</t>
  </si>
  <si>
    <t>GOOG180119P00450000</t>
  </si>
  <si>
    <t>GOOG180119C00460000</t>
  </si>
  <si>
    <t>GOOG180119P00460000</t>
  </si>
  <si>
    <t>GOOG180119C00470000</t>
  </si>
  <si>
    <t>GOOG180119P00470000</t>
  </si>
  <si>
    <t>GOOG180119C00480000</t>
  </si>
  <si>
    <t>GOOG180119P00480000</t>
  </si>
  <si>
    <t>GOOG180119C00490000</t>
  </si>
  <si>
    <t>GOOG180119P00490000</t>
  </si>
  <si>
    <t>GOOG180119C00500000</t>
  </si>
  <si>
    <t>GOOG180119P00500000</t>
  </si>
  <si>
    <t>GOOG180119C00520000</t>
  </si>
  <si>
    <t>GOOG180119P00520000</t>
  </si>
  <si>
    <t>GOOG180119C00540000</t>
  </si>
  <si>
    <t>GOOG180119P00540000</t>
  </si>
  <si>
    <t>GOOG180119C00550000</t>
  </si>
  <si>
    <t>GOOG180119P00550000</t>
  </si>
  <si>
    <t>GOOG180119C00560000</t>
  </si>
  <si>
    <t>GOOG180119P00560000</t>
  </si>
  <si>
    <t>GOOG180119C00580000</t>
  </si>
  <si>
    <t>GOOG180119P00580000</t>
  </si>
  <si>
    <t>GOOG180119C00600000</t>
  </si>
  <si>
    <t>GOOG180119P00600000</t>
  </si>
  <si>
    <t>GOOG180119C00620000</t>
  </si>
  <si>
    <t>GOOG180119P00620000</t>
  </si>
  <si>
    <t>GOOG180119C00640000</t>
  </si>
  <si>
    <t>GOOG180119P00640000</t>
  </si>
  <si>
    <t>GOOG180119C00650000</t>
  </si>
  <si>
    <t>GOOG180119P00650000</t>
  </si>
  <si>
    <t>GOOG180119C00660000</t>
  </si>
  <si>
    <t>GOOG180119P00660000</t>
  </si>
  <si>
    <t>GOOG180119C00670000</t>
  </si>
  <si>
    <t>GOOG180119P00670000</t>
  </si>
  <si>
    <t>GOOG180119C00680000</t>
  </si>
  <si>
    <t>GOOG180119P00680000</t>
  </si>
  <si>
    <t>GOOG180119C00690000</t>
  </si>
  <si>
    <t>GOOG180119P00690000</t>
  </si>
  <si>
    <t>GOOG180119C00700000</t>
  </si>
  <si>
    <t>GOOG180119P00700000</t>
  </si>
  <si>
    <t>GOOG180119C00710000</t>
  </si>
  <si>
    <t>GOOG180119P00710000</t>
  </si>
  <si>
    <t>GOOG180119C00720000</t>
  </si>
  <si>
    <t>GOOG180119P00720000</t>
  </si>
  <si>
    <t>GOOG180119C00730000</t>
  </si>
  <si>
    <t>GOOG180119P00730000</t>
  </si>
  <si>
    <t>GOOG180119C00740000</t>
  </si>
  <si>
    <t>GOOG180119P00740000</t>
  </si>
  <si>
    <t>GOOG180119C00750000</t>
  </si>
  <si>
    <t>GOOG180119P00750000</t>
  </si>
  <si>
    <t>GOOG180119C00760000</t>
  </si>
  <si>
    <t>GOOG180119P00760000</t>
  </si>
  <si>
    <t>GOOG180119C00770000</t>
  </si>
  <si>
    <t>GOOG180119P00770000</t>
  </si>
  <si>
    <t>GOOG180119C00780000</t>
  </si>
  <si>
    <t>GOOG180119P00780000</t>
  </si>
  <si>
    <t>GOOG180119C00790000</t>
  </si>
  <si>
    <t>GOOG180119P00790000</t>
  </si>
  <si>
    <t>GOOG180119C00800000</t>
  </si>
  <si>
    <t>GOOG180119P00800000</t>
  </si>
  <si>
    <t>GOOG180119C00810000</t>
  </si>
  <si>
    <t>GOOG180119P00810000</t>
  </si>
  <si>
    <t>GOOG180119C00820000</t>
  </si>
  <si>
    <t>GOOG180119P00820000</t>
  </si>
  <si>
    <t>GOOG180119C00840000</t>
  </si>
  <si>
    <t>GOOG180119P00840000</t>
  </si>
  <si>
    <t>GOOG180119C00860000</t>
  </si>
  <si>
    <t>GOOG180119P00860000</t>
  </si>
  <si>
    <t>GOOG180119C00880000</t>
  </si>
  <si>
    <t>GOOG180119P00880000</t>
  </si>
  <si>
    <t>GOOG180119C00900000</t>
  </si>
  <si>
    <t>GOOG180119P00900000</t>
  </si>
  <si>
    <t>GOOG180119C00920000</t>
  </si>
  <si>
    <t>GOOG180119P00920000</t>
  </si>
  <si>
    <t>GOOG180119C00940000</t>
  </si>
  <si>
    <t>GOOG180119P00940000</t>
  </si>
  <si>
    <t>GOOG180119C00960000</t>
  </si>
  <si>
    <t>GOOG180119P00960000</t>
  </si>
  <si>
    <t>GOOG180119C00980000</t>
  </si>
  <si>
    <t>GOOG180119P00980000</t>
  </si>
  <si>
    <t>GOOG180119C01000000</t>
  </si>
  <si>
    <t>GOOG180119P01000000</t>
  </si>
  <si>
    <t>GOOG180119C01020000</t>
  </si>
  <si>
    <t>GOOG180119P01020000</t>
  </si>
  <si>
    <t>GOOG180119C01040000</t>
  </si>
  <si>
    <t>GOOG180119P01040000</t>
  </si>
  <si>
    <t>GOOG180119C01060000</t>
  </si>
  <si>
    <t>GOOG180119P01060000</t>
  </si>
  <si>
    <t>GOOG180119C01080000</t>
  </si>
  <si>
    <t>GOOG180119P01080000</t>
  </si>
  <si>
    <t>GOOG180119C01100000</t>
  </si>
  <si>
    <t>GOOG180119P01100000</t>
  </si>
  <si>
    <t>GOOG180119C01120000</t>
  </si>
  <si>
    <t>GOOG180119P01120000</t>
  </si>
  <si>
    <t>GOOG180119C01140000</t>
  </si>
  <si>
    <t>GOOG180119P01140000</t>
  </si>
  <si>
    <t>IBM</t>
  </si>
  <si>
    <t>IBM160506C00110000</t>
  </si>
  <si>
    <t>IBM160506P00110000</t>
  </si>
  <si>
    <t>IBM160506C00115000</t>
  </si>
  <si>
    <t>IBM160506P00115000</t>
  </si>
  <si>
    <t>IBM160506C00120000</t>
  </si>
  <si>
    <t>IBM160506P00120000</t>
  </si>
  <si>
    <t>IBM160506C00125000</t>
  </si>
  <si>
    <t>IBM160506P00125000</t>
  </si>
  <si>
    <t>IBM160506C00128000</t>
  </si>
  <si>
    <t>IBM160506P00128000</t>
  </si>
  <si>
    <t>IBM160506C00130000</t>
  </si>
  <si>
    <t>IBM160506P00130000</t>
  </si>
  <si>
    <t>IBM160506C00132000</t>
  </si>
  <si>
    <t>IBM160506P00132000</t>
  </si>
  <si>
    <t>IBM160506C00133000</t>
  </si>
  <si>
    <t>IBM160506P00133000</t>
  </si>
  <si>
    <t>IBM160506C00134000</t>
  </si>
  <si>
    <t>IBM160506P00134000</t>
  </si>
  <si>
    <t>IBM160506C00135000</t>
  </si>
  <si>
    <t>IBM160506P00135000</t>
  </si>
  <si>
    <t>IBM160506C00136000</t>
  </si>
  <si>
    <t>IBM160506P00136000</t>
  </si>
  <si>
    <t>IBM160506C00137000</t>
  </si>
  <si>
    <t>IBM160506P00137000</t>
  </si>
  <si>
    <t>IBM160506C00138000</t>
  </si>
  <si>
    <t>IBM160506P00138000</t>
  </si>
  <si>
    <t>IBM160506C00139000</t>
  </si>
  <si>
    <t>IBM160506P00139000</t>
  </si>
  <si>
    <t>IBM160506C00140000</t>
  </si>
  <si>
    <t>IBM160506P00140000</t>
  </si>
  <si>
    <t>IBM160506C00141000</t>
  </si>
  <si>
    <t>IBM160506P00141000</t>
  </si>
  <si>
    <t>IBM160506C00142000</t>
  </si>
  <si>
    <t>IBM160506P00142000</t>
  </si>
  <si>
    <t>IBM160506C00143000</t>
  </si>
  <si>
    <t>IBM160506P00143000</t>
  </si>
  <si>
    <t>IBM160506C00144000</t>
  </si>
  <si>
    <t>IBM160506P00144000</t>
  </si>
  <si>
    <t>IBM160506C00145000</t>
  </si>
  <si>
    <t>IBM160506P00145000</t>
  </si>
  <si>
    <t>IBM160506C00146000</t>
  </si>
  <si>
    <t>IBM160506P00146000</t>
  </si>
  <si>
    <t>IBM160506C00147000</t>
  </si>
  <si>
    <t>IBM160506P00147000</t>
  </si>
  <si>
    <t>IBM160506C00148000</t>
  </si>
  <si>
    <t>IBM160506P00148000</t>
  </si>
  <si>
    <t>IBM160506C00149000</t>
  </si>
  <si>
    <t>IBM160506P00149000</t>
  </si>
  <si>
    <t>IBM160506C00150000</t>
  </si>
  <si>
    <t>IBM160506P00150000</t>
  </si>
  <si>
    <t>IBM160506C00152500</t>
  </si>
  <si>
    <t>IBM160506P00152500</t>
  </si>
  <si>
    <t>IBM160506C00155000</t>
  </si>
  <si>
    <t>IBM160506P00155000</t>
  </si>
  <si>
    <t>IBM160506C00157500</t>
  </si>
  <si>
    <t>IBM160506P00157500</t>
  </si>
  <si>
    <t>IBM160506C00160000</t>
  </si>
  <si>
    <t>IBM160506P00160000</t>
  </si>
  <si>
    <t>IBM160506C00162500</t>
  </si>
  <si>
    <t>IBM160506P00162500</t>
  </si>
  <si>
    <t>IBM160506C00165000</t>
  </si>
  <si>
    <t>IBM160506P00165000</t>
  </si>
  <si>
    <t>IBM160506C00167500</t>
  </si>
  <si>
    <t>IBM160506P00167500</t>
  </si>
  <si>
    <t>IBM160513C00115000</t>
  </si>
  <si>
    <t>IBM160513P00115000</t>
  </si>
  <si>
    <t>IBM160513C00125000</t>
  </si>
  <si>
    <t>IBM160513P00125000</t>
  </si>
  <si>
    <t>IBM160513C00129000</t>
  </si>
  <si>
    <t>IBM160513P00129000</t>
  </si>
  <si>
    <t>IBM160513C00130000</t>
  </si>
  <si>
    <t>IBM160513P00130000</t>
  </si>
  <si>
    <t>IBM160513C00134000</t>
  </si>
  <si>
    <t>IBM160513P00134000</t>
  </si>
  <si>
    <t>IBM160513C00135000</t>
  </si>
  <si>
    <t>IBM160513P00135000</t>
  </si>
  <si>
    <t>IBM160513C00136000</t>
  </si>
  <si>
    <t>IBM160513P00136000</t>
  </si>
  <si>
    <t>IBM160513C00137000</t>
  </si>
  <si>
    <t>IBM160513P00137000</t>
  </si>
  <si>
    <t>IBM160513C00138000</t>
  </si>
  <si>
    <t>IBM160513P00138000</t>
  </si>
  <si>
    <t>IBM160513C00139000</t>
  </si>
  <si>
    <t>IBM160513P00139000</t>
  </si>
  <si>
    <t>IBM160513C00140000</t>
  </si>
  <si>
    <t>IBM160513P00140000</t>
  </si>
  <si>
    <t>IBM160513C00141000</t>
  </si>
  <si>
    <t>IBM160513P00141000</t>
  </si>
  <si>
    <t>IBM160513C00142000</t>
  </si>
  <si>
    <t>IBM160513P00142000</t>
  </si>
  <si>
    <t>IBM160513C00143000</t>
  </si>
  <si>
    <t>IBM160513P00143000</t>
  </si>
  <si>
    <t>IBM160513C00144000</t>
  </si>
  <si>
    <t>IBM160513P00144000</t>
  </si>
  <si>
    <t>IBM160513C00145000</t>
  </si>
  <si>
    <t>IBM160513P00145000</t>
  </si>
  <si>
    <t>IBM160513C00146000</t>
  </si>
  <si>
    <t>IBM160513P00146000</t>
  </si>
  <si>
    <t>IBM160513C00147000</t>
  </si>
  <si>
    <t>IBM160513P00147000</t>
  </si>
  <si>
    <t>IBM160513C00148000</t>
  </si>
  <si>
    <t>IBM160513P00148000</t>
  </si>
  <si>
    <t>IBM160513C00149000</t>
  </si>
  <si>
    <t>IBM160513P00149000</t>
  </si>
  <si>
    <t>IBM160513C00150000</t>
  </si>
  <si>
    <t>IBM160513P00150000</t>
  </si>
  <si>
    <t>IBM160513C00152500</t>
  </si>
  <si>
    <t>IBM160513P00152500</t>
  </si>
  <si>
    <t>IBM160513C00155000</t>
  </si>
  <si>
    <t>IBM160513P00155000</t>
  </si>
  <si>
    <t>IBM160513C00157500</t>
  </si>
  <si>
    <t>IBM160513P00157500</t>
  </si>
  <si>
    <t>IBM160513C00160000</t>
  </si>
  <si>
    <t>IBM160513P00160000</t>
  </si>
  <si>
    <t>IBM160513C00162500</t>
  </si>
  <si>
    <t>IBM160513P00162500</t>
  </si>
  <si>
    <t>IBM160513C00165000</t>
  </si>
  <si>
    <t>IBM160513P00165000</t>
  </si>
  <si>
    <t>IBM160513C00170000</t>
  </si>
  <si>
    <t>IBM160513P00170000</t>
  </si>
  <si>
    <t>IBM160520C00070000</t>
  </si>
  <si>
    <t>IBM160520P00070000</t>
  </si>
  <si>
    <t>IBM160520C00075000</t>
  </si>
  <si>
    <t>IBM160520P00075000</t>
  </si>
  <si>
    <t>IBM160520C00080000</t>
  </si>
  <si>
    <t>IBM160520P00080000</t>
  </si>
  <si>
    <t>IBM160520C00085000</t>
  </si>
  <si>
    <t>IBM160520P00085000</t>
  </si>
  <si>
    <t>IBM160520C00090000</t>
  </si>
  <si>
    <t>IBM160520P00090000</t>
  </si>
  <si>
    <t>IBM160520C00095000</t>
  </si>
  <si>
    <t>IBM160520P00095000</t>
  </si>
  <si>
    <t>IBM160520C00100000</t>
  </si>
  <si>
    <t>IBM160520P00100000</t>
  </si>
  <si>
    <t>IBM160520C00105000</t>
  </si>
  <si>
    <t>IBM160520P00105000</t>
  </si>
  <si>
    <t>IBM160520C00110000</t>
  </si>
  <si>
    <t>IBM160520P00110000</t>
  </si>
  <si>
    <t>IBM160520C00115000</t>
  </si>
  <si>
    <t>IBM160520P00115000</t>
  </si>
  <si>
    <t>IBM160520C00120000</t>
  </si>
  <si>
    <t>IBM160520P00120000</t>
  </si>
  <si>
    <t>IBM160520C00123000</t>
  </si>
  <si>
    <t>IBM160520P00123000</t>
  </si>
  <si>
    <t>IBM160520C00124000</t>
  </si>
  <si>
    <t>IBM160520P00124000</t>
  </si>
  <si>
    <t>IBM160520C00125000</t>
  </si>
  <si>
    <t>IBM160520P00125000</t>
  </si>
  <si>
    <t>IBM160520C00126000</t>
  </si>
  <si>
    <t>IBM160520P00126000</t>
  </si>
  <si>
    <t>IBM160520C00127000</t>
  </si>
  <si>
    <t>IBM160520P00127000</t>
  </si>
  <si>
    <t>IBM160520C00128000</t>
  </si>
  <si>
    <t>IBM160520P00128000</t>
  </si>
  <si>
    <t>IBM160520C00129000</t>
  </si>
  <si>
    <t>IBM160520P00129000</t>
  </si>
  <si>
    <t>IBM160520C00130000</t>
  </si>
  <si>
    <t>IBM160520P00130000</t>
  </si>
  <si>
    <t>IBM160520C00131000</t>
  </si>
  <si>
    <t>IBM160520P00131000</t>
  </si>
  <si>
    <t>IBM160520C00132000</t>
  </si>
  <si>
    <t>IBM160520P00132000</t>
  </si>
  <si>
    <t>IBM160520C00133000</t>
  </si>
  <si>
    <t>IBM160520P00133000</t>
  </si>
  <si>
    <t>IBM160520C00134000</t>
  </si>
  <si>
    <t>IBM160520P00134000</t>
  </si>
  <si>
    <t>IBM160520C00135000</t>
  </si>
  <si>
    <t>IBM160520P00135000</t>
  </si>
  <si>
    <t>IBM160520C00136000</t>
  </si>
  <si>
    <t>IBM160520P00136000</t>
  </si>
  <si>
    <t>IBM160520C00137000</t>
  </si>
  <si>
    <t>IBM160520P00137000</t>
  </si>
  <si>
    <t>IBM160520C00138000</t>
  </si>
  <si>
    <t>IBM160520P00138000</t>
  </si>
  <si>
    <t>IBM160520C00139000</t>
  </si>
  <si>
    <t>IBM160520P00139000</t>
  </si>
  <si>
    <t>IBM160520C00140000</t>
  </si>
  <si>
    <t>IBM160520P00140000</t>
  </si>
  <si>
    <t>IBM160520C00141000</t>
  </si>
  <si>
    <t>IBM160520P00141000</t>
  </si>
  <si>
    <t>IBM160520C00142000</t>
  </si>
  <si>
    <t>IBM160520P00142000</t>
  </si>
  <si>
    <t>IBM160520C00143000</t>
  </si>
  <si>
    <t>IBM160520P00143000</t>
  </si>
  <si>
    <t>IBM160520C00144000</t>
  </si>
  <si>
    <t>IBM160520P00144000</t>
  </si>
  <si>
    <t>IBM160520C00145000</t>
  </si>
  <si>
    <t>IBM160520P00145000</t>
  </si>
  <si>
    <t>IBM160520C00146000</t>
  </si>
  <si>
    <t>IBM160520P00146000</t>
  </si>
  <si>
    <t>IBM160520C00147000</t>
  </si>
  <si>
    <t>IBM160520P00147000</t>
  </si>
  <si>
    <t>IBM160520C00148000</t>
  </si>
  <si>
    <t>IBM160520P00148000</t>
  </si>
  <si>
    <t>IBM160520C00149000</t>
  </si>
  <si>
    <t>IBM160520P00149000</t>
  </si>
  <si>
    <t>IBM160520C00150000</t>
  </si>
  <si>
    <t>IBM160520P00150000</t>
  </si>
  <si>
    <t>IBM160520C00152500</t>
  </si>
  <si>
    <t>IBM160520P00152500</t>
  </si>
  <si>
    <t>IBM160520C00155000</t>
  </si>
  <si>
    <t>IBM160520P00155000</t>
  </si>
  <si>
    <t>IBM160520C00157500</t>
  </si>
  <si>
    <t>IBM160520P00157500</t>
  </si>
  <si>
    <t>IBM160520C00160000</t>
  </si>
  <si>
    <t>IBM160520P00160000</t>
  </si>
  <si>
    <t>IBM160520C00162500</t>
  </si>
  <si>
    <t>IBM160520P00162500</t>
  </si>
  <si>
    <t>IBM160520C00165000</t>
  </si>
  <si>
    <t>IBM160520P00165000</t>
  </si>
  <si>
    <t>IBM160520C00167500</t>
  </si>
  <si>
    <t>IBM160520P00167500</t>
  </si>
  <si>
    <t>IBM160520C00170000</t>
  </si>
  <si>
    <t>IBM160520P00170000</t>
  </si>
  <si>
    <t>IBM160520C00172500</t>
  </si>
  <si>
    <t>IBM160520P00172500</t>
  </si>
  <si>
    <t>IBM160520C00175000</t>
  </si>
  <si>
    <t>IBM160520P00175000</t>
  </si>
  <si>
    <t>IBM160520C00177500</t>
  </si>
  <si>
    <t>IBM160520P00177500</t>
  </si>
  <si>
    <t>IBM160520C00180000</t>
  </si>
  <si>
    <t>IBM160520P00180000</t>
  </si>
  <si>
    <t>IBM160520C00182500</t>
  </si>
  <si>
    <t>IBM160520P00182500</t>
  </si>
  <si>
    <t>IBM160520C00185000</t>
  </si>
  <si>
    <t>IBM160520P00185000</t>
  </si>
  <si>
    <t>IBM160520C00190000</t>
  </si>
  <si>
    <t>IBM160520P00190000</t>
  </si>
  <si>
    <t>IBM160520C00195000</t>
  </si>
  <si>
    <t>IBM160520P00195000</t>
  </si>
  <si>
    <t>IBM160520C00200000</t>
  </si>
  <si>
    <t>IBM160520P00200000</t>
  </si>
  <si>
    <t>IBM160520C00205000</t>
  </si>
  <si>
    <t>IBM160520P00205000</t>
  </si>
  <si>
    <t>IBM160527C00115000</t>
  </si>
  <si>
    <t>IBM160527P00115000</t>
  </si>
  <si>
    <t>IBM160527C00120000</t>
  </si>
  <si>
    <t>IBM160527P00120000</t>
  </si>
  <si>
    <t>IBM160527C00125000</t>
  </si>
  <si>
    <t>IBM160527P00125000</t>
  </si>
  <si>
    <t>IBM160527C00130000</t>
  </si>
  <si>
    <t>IBM160527P00130000</t>
  </si>
  <si>
    <t>IBM160527C00135000</t>
  </si>
  <si>
    <t>IBM160527P00135000</t>
  </si>
  <si>
    <t>IBM160527C00136000</t>
  </si>
  <si>
    <t>IBM160527P00136000</t>
  </si>
  <si>
    <t>IBM160527C00137000</t>
  </si>
  <si>
    <t>IBM160527P00137000</t>
  </si>
  <si>
    <t>IBM160527C00138000</t>
  </si>
  <si>
    <t>IBM160527P00138000</t>
  </si>
  <si>
    <t>IBM160527C00139000</t>
  </si>
  <si>
    <t>IBM160527P00139000</t>
  </si>
  <si>
    <t>IBM160527C00140000</t>
  </si>
  <si>
    <t>IBM160527P00140000</t>
  </si>
  <si>
    <t>IBM160527C00141000</t>
  </si>
  <si>
    <t>IBM160527P00141000</t>
  </si>
  <si>
    <t>IBM160527C00142000</t>
  </si>
  <si>
    <t>IBM160527P00142000</t>
  </si>
  <si>
    <t>IBM160527C00143000</t>
  </si>
  <si>
    <t>IBM160527P00143000</t>
  </si>
  <si>
    <t>IBM160527C00144000</t>
  </si>
  <si>
    <t>IBM160527P00144000</t>
  </si>
  <si>
    <t>IBM160527C00145000</t>
  </si>
  <si>
    <t>IBM160527P00145000</t>
  </si>
  <si>
    <t>IBM160527C00146000</t>
  </si>
  <si>
    <t>IBM160527P00146000</t>
  </si>
  <si>
    <t>IBM160527C00147000</t>
  </si>
  <si>
    <t>IBM160527P00147000</t>
  </si>
  <si>
    <t>IBM160527C00148000</t>
  </si>
  <si>
    <t>IBM160527P00148000</t>
  </si>
  <si>
    <t>IBM160527C00149000</t>
  </si>
  <si>
    <t>IBM160527P00149000</t>
  </si>
  <si>
    <t>IBM160527C00150000</t>
  </si>
  <si>
    <t>IBM160527P00150000</t>
  </si>
  <si>
    <t>IBM160527C00152500</t>
  </si>
  <si>
    <t>IBM160527P00152500</t>
  </si>
  <si>
    <t>IBM160527C00155000</t>
  </si>
  <si>
    <t>IBM160527P00155000</t>
  </si>
  <si>
    <t>IBM160527C00157500</t>
  </si>
  <si>
    <t>IBM160527P00157500</t>
  </si>
  <si>
    <t>IBM160527C00160000</t>
  </si>
  <si>
    <t>IBM160527P00160000</t>
  </si>
  <si>
    <t>IBM160527C00162500</t>
  </si>
  <si>
    <t>IBM160527P00162500</t>
  </si>
  <si>
    <t>IBM160527C00165000</t>
  </si>
  <si>
    <t>IBM160527P00165000</t>
  </si>
  <si>
    <t>IBM160527C00167500</t>
  </si>
  <si>
    <t>IBM160527P00167500</t>
  </si>
  <si>
    <t>IBM160527C00170000</t>
  </si>
  <si>
    <t>IBM160527P00170000</t>
  </si>
  <si>
    <t>IBM160527C00175000</t>
  </si>
  <si>
    <t>IBM160527P00175000</t>
  </si>
  <si>
    <t>IBM160603C00120000</t>
  </si>
  <si>
    <t>IBM160603P00120000</t>
  </si>
  <si>
    <t>IBM160603C00125000</t>
  </si>
  <si>
    <t>IBM160603P00125000</t>
  </si>
  <si>
    <t>IBM160603C00129000</t>
  </si>
  <si>
    <t>IBM160603P00129000</t>
  </si>
  <si>
    <t>IBM160603C00130000</t>
  </si>
  <si>
    <t>IBM160603P00130000</t>
  </si>
  <si>
    <t>IBM160603C00132000</t>
  </si>
  <si>
    <t>IBM160603P00132000</t>
  </si>
  <si>
    <t>IBM160603C00135000</t>
  </si>
  <si>
    <t>IBM160603P00135000</t>
  </si>
  <si>
    <t>IBM160603C00137000</t>
  </si>
  <si>
    <t>IBM160603P00137000</t>
  </si>
  <si>
    <t>IBM160603C00138000</t>
  </si>
  <si>
    <t>IBM160603P00138000</t>
  </si>
  <si>
    <t>IBM160603C00140000</t>
  </si>
  <si>
    <t>IBM160603P00140000</t>
  </si>
  <si>
    <t>IBM160603C00141000</t>
  </si>
  <si>
    <t>IBM160603P00141000</t>
  </si>
  <si>
    <t>IBM160603C00142000</t>
  </si>
  <si>
    <t>IBM160603P00142000</t>
  </si>
  <si>
    <t>IBM160603C00143000</t>
  </si>
  <si>
    <t>IBM160603P00143000</t>
  </si>
  <si>
    <t>IBM160603C00144000</t>
  </si>
  <si>
    <t>IBM160603P00144000</t>
  </si>
  <si>
    <t>IBM160603C00145000</t>
  </si>
  <si>
    <t>IBM160603P00145000</t>
  </si>
  <si>
    <t>IBM160603C00146000</t>
  </si>
  <si>
    <t>IBM160603P00146000</t>
  </si>
  <si>
    <t>IBM160603C00147000</t>
  </si>
  <si>
    <t>IBM160603P00147000</t>
  </si>
  <si>
    <t>IBM160603C00148000</t>
  </si>
  <si>
    <t>IBM160603P00148000</t>
  </si>
  <si>
    <t>IBM160603C00149000</t>
  </si>
  <si>
    <t>IBM160603P00149000</t>
  </si>
  <si>
    <t>IBM160603C00150000</t>
  </si>
  <si>
    <t>IBM160603P00150000</t>
  </si>
  <si>
    <t>IBM160603C00152500</t>
  </si>
  <si>
    <t>IBM160603P00152500</t>
  </si>
  <si>
    <t>IBM160603C00155000</t>
  </si>
  <si>
    <t>IBM160603P00155000</t>
  </si>
  <si>
    <t>IBM160603C00157500</t>
  </si>
  <si>
    <t>IBM160603P00157500</t>
  </si>
  <si>
    <t>IBM160603C00160000</t>
  </si>
  <si>
    <t>IBM160603P00160000</t>
  </si>
  <si>
    <t>IBM160603C00162500</t>
  </si>
  <si>
    <t>IBM160603P00162500</t>
  </si>
  <si>
    <t>IBM160603C00165000</t>
  </si>
  <si>
    <t>IBM160603P00165000</t>
  </si>
  <si>
    <t>IBM160610C00135000</t>
  </si>
  <si>
    <t>IBM160610P00135000</t>
  </si>
  <si>
    <t>IBM160610C00138000</t>
  </si>
  <si>
    <t>IBM160610P00138000</t>
  </si>
  <si>
    <t>IBM160610C00139000</t>
  </si>
  <si>
    <t>IBM160610P00139000</t>
  </si>
  <si>
    <t>IBM160610C00140000</t>
  </si>
  <si>
    <t>IBM160610P00140000</t>
  </si>
  <si>
    <t>IBM160610C00141000</t>
  </si>
  <si>
    <t>IBM160610P00141000</t>
  </si>
  <si>
    <t>IBM160610C00142000</t>
  </si>
  <si>
    <t>IBM160610P00142000</t>
  </si>
  <si>
    <t>IBM160610C00143000</t>
  </si>
  <si>
    <t>IBM160610P00143000</t>
  </si>
  <si>
    <t>IBM160610C00144000</t>
  </si>
  <si>
    <t>IBM160610P00144000</t>
  </si>
  <si>
    <t>IBM160610C00145000</t>
  </si>
  <si>
    <t>IBM160610P00145000</t>
  </si>
  <si>
    <t>IBM160610C00146000</t>
  </si>
  <si>
    <t>IBM160610P00146000</t>
  </si>
  <si>
    <t>IBM160610C00147000</t>
  </si>
  <si>
    <t>IBM160610P00147000</t>
  </si>
  <si>
    <t>IBM160610C00148000</t>
  </si>
  <si>
    <t>IBM160610P00148000</t>
  </si>
  <si>
    <t>IBM160610C00150000</t>
  </si>
  <si>
    <t>IBM160610P00150000</t>
  </si>
  <si>
    <t>IBM160610C00155000</t>
  </si>
  <si>
    <t>IBM160610P00155000</t>
  </si>
  <si>
    <t>IBM160617C00075000</t>
  </si>
  <si>
    <t>IBM160617P00075000</t>
  </si>
  <si>
    <t>IBM160617C00080000</t>
  </si>
  <si>
    <t>IBM160617P00080000</t>
  </si>
  <si>
    <t>IBM160617C00085000</t>
  </si>
  <si>
    <t>IBM160617P00085000</t>
  </si>
  <si>
    <t>IBM160617C00090000</t>
  </si>
  <si>
    <t>IBM160617P00090000</t>
  </si>
  <si>
    <t>IBM160617C00095000</t>
  </si>
  <si>
    <t>IBM160617P00095000</t>
  </si>
  <si>
    <t>IBM160617C00100000</t>
  </si>
  <si>
    <t>IBM160617P00100000</t>
  </si>
  <si>
    <t>IBM160617C00105000</t>
  </si>
  <si>
    <t>IBM160617P00105000</t>
  </si>
  <si>
    <t>IBM160617C00110000</t>
  </si>
  <si>
    <t>IBM160617P00110000</t>
  </si>
  <si>
    <t>IBM160617C00115000</t>
  </si>
  <si>
    <t>IBM160617P00115000</t>
  </si>
  <si>
    <t>IBM160617C00120000</t>
  </si>
  <si>
    <t>IBM160617P00120000</t>
  </si>
  <si>
    <t>IBM160617C00125000</t>
  </si>
  <si>
    <t>IBM160617P00125000</t>
  </si>
  <si>
    <t>IBM160617C00130000</t>
  </si>
  <si>
    <t>IBM160617P00130000</t>
  </si>
  <si>
    <t>IBM160617C00135000</t>
  </si>
  <si>
    <t>IBM160617P00135000</t>
  </si>
  <si>
    <t>IBM160617C00140000</t>
  </si>
  <si>
    <t>IBM160617P00140000</t>
  </si>
  <si>
    <t>IBM160617C00145000</t>
  </si>
  <si>
    <t>IBM160617P00145000</t>
  </si>
  <si>
    <t>IBM160617C00150000</t>
  </si>
  <si>
    <t>IBM160617P00150000</t>
  </si>
  <si>
    <t>IBM160617C00155000</t>
  </si>
  <si>
    <t>IBM160617P00155000</t>
  </si>
  <si>
    <t>IBM160617C00160000</t>
  </si>
  <si>
    <t>IBM160617P00160000</t>
  </si>
  <si>
    <t>IBM160617C00165000</t>
  </si>
  <si>
    <t>IBM160617P00165000</t>
  </si>
  <si>
    <t>IBM160617C00170000</t>
  </si>
  <si>
    <t>IBM160617P00170000</t>
  </si>
  <si>
    <t>IBM160617C00175000</t>
  </si>
  <si>
    <t>IBM160617P00175000</t>
  </si>
  <si>
    <t>IBM160617C00180000</t>
  </si>
  <si>
    <t>IBM160617P00180000</t>
  </si>
  <si>
    <t>IBM160617C00190000</t>
  </si>
  <si>
    <t>IBM160617P00190000</t>
  </si>
  <si>
    <t>IBM160715C00060000</t>
  </si>
  <si>
    <t>IBM160715P00060000</t>
  </si>
  <si>
    <t>IBM160715C00065000</t>
  </si>
  <si>
    <t>IBM160715P00065000</t>
  </si>
  <si>
    <t>IBM160715C00070000</t>
  </si>
  <si>
    <t>IBM160715P00070000</t>
  </si>
  <si>
    <t>IBM160715C00075000</t>
  </si>
  <si>
    <t>IBM160715P00075000</t>
  </si>
  <si>
    <t>IBM160715C00080000</t>
  </si>
  <si>
    <t>IBM160715P00080000</t>
  </si>
  <si>
    <t>IBM160715C00085000</t>
  </si>
  <si>
    <t>IBM160715P00085000</t>
  </si>
  <si>
    <t>IBM160715C00090000</t>
  </si>
  <si>
    <t>IBM160715P00090000</t>
  </si>
  <si>
    <t>IBM160715C00095000</t>
  </si>
  <si>
    <t>IBM160715P00095000</t>
  </si>
  <si>
    <t>IBM160715C00100000</t>
  </si>
  <si>
    <t>IBM160715P00100000</t>
  </si>
  <si>
    <t>IBM160715C00105000</t>
  </si>
  <si>
    <t>IBM160715P00105000</t>
  </si>
  <si>
    <t>IBM160715C00110000</t>
  </si>
  <si>
    <t>IBM160715P00110000</t>
  </si>
  <si>
    <t>IBM160715C00115000</t>
  </si>
  <si>
    <t>IBM160715P00115000</t>
  </si>
  <si>
    <t>IBM160715C00120000</t>
  </si>
  <si>
    <t>IBM160715P00120000</t>
  </si>
  <si>
    <t>IBM160715C00125000</t>
  </si>
  <si>
    <t>IBM160715P00125000</t>
  </si>
  <si>
    <t>IBM160715C00130000</t>
  </si>
  <si>
    <t>IBM160715P00130000</t>
  </si>
  <si>
    <t>IBM160715C00135000</t>
  </si>
  <si>
    <t>IBM160715P00135000</t>
  </si>
  <si>
    <t>IBM160715C00140000</t>
  </si>
  <si>
    <t>IBM160715P00140000</t>
  </si>
  <si>
    <t>IBM160715C00145000</t>
  </si>
  <si>
    <t>IBM160715P00145000</t>
  </si>
  <si>
    <t>IBM160715C00150000</t>
  </si>
  <si>
    <t>IBM160715P00150000</t>
  </si>
  <si>
    <t>IBM160715C00155000</t>
  </si>
  <si>
    <t>IBM160715P00155000</t>
  </si>
  <si>
    <t>IBM160715C00160000</t>
  </si>
  <si>
    <t>IBM160715P00160000</t>
  </si>
  <si>
    <t>IBM160715C00165000</t>
  </si>
  <si>
    <t>IBM160715P00165000</t>
  </si>
  <si>
    <t>IBM160715C00170000</t>
  </si>
  <si>
    <t>IBM160715P00170000</t>
  </si>
  <si>
    <t>IBM160715C00175000</t>
  </si>
  <si>
    <t>IBM160715P00175000</t>
  </si>
  <si>
    <t>IBM160715C00180000</t>
  </si>
  <si>
    <t>IBM160715P00180000</t>
  </si>
  <si>
    <t>IBM160715C00185000</t>
  </si>
  <si>
    <t>IBM160715P00185000</t>
  </si>
  <si>
    <t>IBM160715C00190000</t>
  </si>
  <si>
    <t>IBM160715P00190000</t>
  </si>
  <si>
    <t>IBM160715C00195000</t>
  </si>
  <si>
    <t>IBM160715P00195000</t>
  </si>
  <si>
    <t>IBM160715C00200000</t>
  </si>
  <si>
    <t>IBM160715P00200000</t>
  </si>
  <si>
    <t>IBM160715C00205000</t>
  </si>
  <si>
    <t>IBM160715P00205000</t>
  </si>
  <si>
    <t>IBM160819C00075000</t>
  </si>
  <si>
    <t>IBM160819P00075000</t>
  </si>
  <si>
    <t>IBM160819C00085000</t>
  </si>
  <si>
    <t>IBM160819P00085000</t>
  </si>
  <si>
    <t>IBM160819C00090000</t>
  </si>
  <si>
    <t>IBM160819P00090000</t>
  </si>
  <si>
    <t>IBM160819C00105000</t>
  </si>
  <si>
    <t>IBM160819P00105000</t>
  </si>
  <si>
    <t>IBM160819C00110000</t>
  </si>
  <si>
    <t>IBM160819P00110000</t>
  </si>
  <si>
    <t>IBM160819C00115000</t>
  </si>
  <si>
    <t>IBM160819P00115000</t>
  </si>
  <si>
    <t>IBM160819C00120000</t>
  </si>
  <si>
    <t>IBM160819P00120000</t>
  </si>
  <si>
    <t>IBM160819C00125000</t>
  </si>
  <si>
    <t>IBM160819P00125000</t>
  </si>
  <si>
    <t>IBM160819C00130000</t>
  </si>
  <si>
    <t>IBM160819P00130000</t>
  </si>
  <si>
    <t>IBM160819C00135000</t>
  </si>
  <si>
    <t>IBM160819P00135000</t>
  </si>
  <si>
    <t>IBM160819C00140000</t>
  </si>
  <si>
    <t>IBM160819P00140000</t>
  </si>
  <si>
    <t>IBM160819C00145000</t>
  </si>
  <si>
    <t>IBM160819P00145000</t>
  </si>
  <si>
    <t>IBM160819C00150000</t>
  </si>
  <si>
    <t>IBM160819P00150000</t>
  </si>
  <si>
    <t>IBM160819C00155000</t>
  </si>
  <si>
    <t>IBM160819P00155000</t>
  </si>
  <si>
    <t>IBM160819C00160000</t>
  </si>
  <si>
    <t>IBM160819P00160000</t>
  </si>
  <si>
    <t>IBM160819C00165000</t>
  </si>
  <si>
    <t>IBM160819P00165000</t>
  </si>
  <si>
    <t>IBM160819C00170000</t>
  </si>
  <si>
    <t>IBM160819P00170000</t>
  </si>
  <si>
    <t>IBM160819C00175000</t>
  </si>
  <si>
    <t>IBM160819P00175000</t>
  </si>
  <si>
    <t>IBM160819C00180000</t>
  </si>
  <si>
    <t>IBM160819P00180000</t>
  </si>
  <si>
    <t>IBM160819C00185000</t>
  </si>
  <si>
    <t>IBM160819P00185000</t>
  </si>
  <si>
    <t>IBM160819C00195000</t>
  </si>
  <si>
    <t>IBM160819P00195000</t>
  </si>
  <si>
    <t>IBM161021C00070000</t>
  </si>
  <si>
    <t>IBM161021P00070000</t>
  </si>
  <si>
    <t>IBM161021C00075000</t>
  </si>
  <si>
    <t>IBM161021P00075000</t>
  </si>
  <si>
    <t>IBM161021C00080000</t>
  </si>
  <si>
    <t>IBM161021P00080000</t>
  </si>
  <si>
    <t>IBM161021C00085000</t>
  </si>
  <si>
    <t>IBM161021P00085000</t>
  </si>
  <si>
    <t>IBM161021C00090000</t>
  </si>
  <si>
    <t>IBM161021P00090000</t>
  </si>
  <si>
    <t>IBM161021C00095000</t>
  </si>
  <si>
    <t>IBM161021P00095000</t>
  </si>
  <si>
    <t>IBM161021C00100000</t>
  </si>
  <si>
    <t>IBM161021P00100000</t>
  </si>
  <si>
    <t>IBM161021C00105000</t>
  </si>
  <si>
    <t>IBM161021P00105000</t>
  </si>
  <si>
    <t>IBM161021C00110000</t>
  </si>
  <si>
    <t>IBM161021P00110000</t>
  </si>
  <si>
    <t>IBM161021C00115000</t>
  </si>
  <si>
    <t>IBM161021P00115000</t>
  </si>
  <si>
    <t>IBM161021C00120000</t>
  </si>
  <si>
    <t>IBM161021P00120000</t>
  </si>
  <si>
    <t>IBM161021C00125000</t>
  </si>
  <si>
    <t>IBM161021P00125000</t>
  </si>
  <si>
    <t>IBM161021C00130000</t>
  </si>
  <si>
    <t>IBM161021P00130000</t>
  </si>
  <si>
    <t>IBM161021C00135000</t>
  </si>
  <si>
    <t>IBM161021P00135000</t>
  </si>
  <si>
    <t>IBM161021C00140000</t>
  </si>
  <si>
    <t>IBM161021P00140000</t>
  </si>
  <si>
    <t>IBM161021C00145000</t>
  </si>
  <si>
    <t>IBM161021P00145000</t>
  </si>
  <si>
    <t>IBM161021C00150000</t>
  </si>
  <si>
    <t>IBM161021P00150000</t>
  </si>
  <si>
    <t>IBM161021C00155000</t>
  </si>
  <si>
    <t>IBM161021P00155000</t>
  </si>
  <si>
    <t>IBM161021C00160000</t>
  </si>
  <si>
    <t>IBM161021P00160000</t>
  </si>
  <si>
    <t>IBM161021C00165000</t>
  </si>
  <si>
    <t>IBM161021P00165000</t>
  </si>
  <si>
    <t>IBM161021C00170000</t>
  </si>
  <si>
    <t>IBM161021P00170000</t>
  </si>
  <si>
    <t>IBM161021C00175000</t>
  </si>
  <si>
    <t>IBM161021P00175000</t>
  </si>
  <si>
    <t>IBM161021C00180000</t>
  </si>
  <si>
    <t>IBM161021P00180000</t>
  </si>
  <si>
    <t>IBM161021C00185000</t>
  </si>
  <si>
    <t>IBM161021P00185000</t>
  </si>
  <si>
    <t>IBM161021C00190000</t>
  </si>
  <si>
    <t>IBM161021P00190000</t>
  </si>
  <si>
    <t>IBM161021C00195000</t>
  </si>
  <si>
    <t>IBM161021P00195000</t>
  </si>
  <si>
    <t>IBM161021C00200000</t>
  </si>
  <si>
    <t>IBM161021P00200000</t>
  </si>
  <si>
    <t>IBM170120C00060000</t>
  </si>
  <si>
    <t>IBM170120P00060000</t>
  </si>
  <si>
    <t>IBM170120C00065000</t>
  </si>
  <si>
    <t>IBM170120P00065000</t>
  </si>
  <si>
    <t>IBM170120C00070000</t>
  </si>
  <si>
    <t>IBM170120P00070000</t>
  </si>
  <si>
    <t>IBM170120C00075000</t>
  </si>
  <si>
    <t>IBM170120P00075000</t>
  </si>
  <si>
    <t>IBM170120C00080000</t>
  </si>
  <si>
    <t>IBM170120P00080000</t>
  </si>
  <si>
    <t>IBM170120C00085000</t>
  </si>
  <si>
    <t>IBM170120P00085000</t>
  </si>
  <si>
    <t>IBM170120C00090000</t>
  </si>
  <si>
    <t>IBM170120P00090000</t>
  </si>
  <si>
    <t>IBM170120C00095000</t>
  </si>
  <si>
    <t>IBM170120P00095000</t>
  </si>
  <si>
    <t>IBM170120C00100000</t>
  </si>
  <si>
    <t>IBM170120P00100000</t>
  </si>
  <si>
    <t>IBM170120C00105000</t>
  </si>
  <si>
    <t>IBM170120P00105000</t>
  </si>
  <si>
    <t>IBM170120C00110000</t>
  </si>
  <si>
    <t>IBM170120P00110000</t>
  </si>
  <si>
    <t>IBM170120C00115000</t>
  </si>
  <si>
    <t>IBM170120P00115000</t>
  </si>
  <si>
    <t>IBM170120C00120000</t>
  </si>
  <si>
    <t>IBM170120P00120000</t>
  </si>
  <si>
    <t>IBM170120C00125000</t>
  </si>
  <si>
    <t>IBM170120P00125000</t>
  </si>
  <si>
    <t>IBM170120C00130000</t>
  </si>
  <si>
    <t>IBM170120P00130000</t>
  </si>
  <si>
    <t>IBM170120C00135000</t>
  </si>
  <si>
    <t>IBM170120P00135000</t>
  </si>
  <si>
    <t>IBM170120C00140000</t>
  </si>
  <si>
    <t>IBM170120P00140000</t>
  </si>
  <si>
    <t>IBM170120C00145000</t>
  </si>
  <si>
    <t>IBM170120P00145000</t>
  </si>
  <si>
    <t>IBM170120C00150000</t>
  </si>
  <si>
    <t>IBM170120P00150000</t>
  </si>
  <si>
    <t>IBM170120C00155000</t>
  </si>
  <si>
    <t>IBM170120P00155000</t>
  </si>
  <si>
    <t>IBM170120C00160000</t>
  </si>
  <si>
    <t>IBM170120P00160000</t>
  </si>
  <si>
    <t>IBM170120C00165000</t>
  </si>
  <si>
    <t>IBM170120P00165000</t>
  </si>
  <si>
    <t>IBM170120C00170000</t>
  </si>
  <si>
    <t>IBM170120P00170000</t>
  </si>
  <si>
    <t>IBM170120C00175000</t>
  </si>
  <si>
    <t>IBM170120P00175000</t>
  </si>
  <si>
    <t>IBM170120C00180000</t>
  </si>
  <si>
    <t>IBM170120P00180000</t>
  </si>
  <si>
    <t>IBM170120C00185000</t>
  </si>
  <si>
    <t>IBM170120P00185000</t>
  </si>
  <si>
    <t>IBM170120C00190000</t>
  </si>
  <si>
    <t>IBM170120P00190000</t>
  </si>
  <si>
    <t>IBM170120C00195000</t>
  </si>
  <si>
    <t>IBM170120P00195000</t>
  </si>
  <si>
    <t>IBM170120C00200000</t>
  </si>
  <si>
    <t>IBM170120P00200000</t>
  </si>
  <si>
    <t>IBM170120C00210000</t>
  </si>
  <si>
    <t>IBM170120P00210000</t>
  </si>
  <si>
    <t>IBM170120C00220000</t>
  </si>
  <si>
    <t>IBM170120P00220000</t>
  </si>
  <si>
    <t>IBM170120C00230000</t>
  </si>
  <si>
    <t>IBM170120P00230000</t>
  </si>
  <si>
    <t>IBM170120C00240000</t>
  </si>
  <si>
    <t>IBM170120P00240000</t>
  </si>
  <si>
    <t>IBM170120C00250000</t>
  </si>
  <si>
    <t>IBM170120P00250000</t>
  </si>
  <si>
    <t>IBM170120C00260000</t>
  </si>
  <si>
    <t>IBM170120P00260000</t>
  </si>
  <si>
    <t>IBM170120C00270000</t>
  </si>
  <si>
    <t>IBM170120P00270000</t>
  </si>
  <si>
    <t>IBM170120C00280000</t>
  </si>
  <si>
    <t>IBM170120P00280000</t>
  </si>
  <si>
    <t>IBM180119C00060000</t>
  </si>
  <si>
    <t>IBM180119P00060000</t>
  </si>
  <si>
    <t>IBM180119C00065000</t>
  </si>
  <si>
    <t>IBM180119P00065000</t>
  </si>
  <si>
    <t>IBM180119C00070000</t>
  </si>
  <si>
    <t>IBM180119P00070000</t>
  </si>
  <si>
    <t>IBM180119C00075000</t>
  </si>
  <si>
    <t>IBM180119P00075000</t>
  </si>
  <si>
    <t>IBM180119C00080000</t>
  </si>
  <si>
    <t>IBM180119P00080000</t>
  </si>
  <si>
    <t>IBM180119C00085000</t>
  </si>
  <si>
    <t>IBM180119P00085000</t>
  </si>
  <si>
    <t>IBM180119C00090000</t>
  </si>
  <si>
    <t>IBM180119P00090000</t>
  </si>
  <si>
    <t>IBM180119C00095000</t>
  </si>
  <si>
    <t>IBM180119P00095000</t>
  </si>
  <si>
    <t>IBM180119C00100000</t>
  </si>
  <si>
    <t>IBM180119P00100000</t>
  </si>
  <si>
    <t>IBM180119C00105000</t>
  </si>
  <si>
    <t>IBM180119P00105000</t>
  </si>
  <si>
    <t>IBM180119C00110000</t>
  </si>
  <si>
    <t>IBM180119P00110000</t>
  </si>
  <si>
    <t>IBM180119C00115000</t>
  </si>
  <si>
    <t>IBM180119P00115000</t>
  </si>
  <si>
    <t>IBM180119C00120000</t>
  </si>
  <si>
    <t>IBM180119P00120000</t>
  </si>
  <si>
    <t>IBM180119C00125000</t>
  </si>
  <si>
    <t>IBM180119P00125000</t>
  </si>
  <si>
    <t>IBM180119C00130000</t>
  </si>
  <si>
    <t>IBM180119P00130000</t>
  </si>
  <si>
    <t>IBM180119C00135000</t>
  </si>
  <si>
    <t>IBM180119P00135000</t>
  </si>
  <si>
    <t>IBM180119C00140000</t>
  </si>
  <si>
    <t>IBM180119P00140000</t>
  </si>
  <si>
    <t>IBM180119C00145000</t>
  </si>
  <si>
    <t>IBM180119P00145000</t>
  </si>
  <si>
    <t>IBM180119C00150000</t>
  </si>
  <si>
    <t>IBM180119P00150000</t>
  </si>
  <si>
    <t>IBM180119C00155000</t>
  </si>
  <si>
    <t>IBM180119P00155000</t>
  </si>
  <si>
    <t>IBM180119C00160000</t>
  </si>
  <si>
    <t>IBM180119P00160000</t>
  </si>
  <si>
    <t>IBM180119C00165000</t>
  </si>
  <si>
    <t>IBM180119P00165000</t>
  </si>
  <si>
    <t>IBM180119C00170000</t>
  </si>
  <si>
    <t>IBM180119P00170000</t>
  </si>
  <si>
    <t>IBM180119C00175000</t>
  </si>
  <si>
    <t>IBM180119P00175000</t>
  </si>
  <si>
    <t>IBM180119C00180000</t>
  </si>
  <si>
    <t>IBM180119P00180000</t>
  </si>
  <si>
    <t>IBM180119C00185000</t>
  </si>
  <si>
    <t>IBM180119P00185000</t>
  </si>
  <si>
    <t>IBM180119C00190000</t>
  </si>
  <si>
    <t>IBM180119P00190000</t>
  </si>
  <si>
    <t>IBM180119C00195000</t>
  </si>
  <si>
    <t>IBM180119P00195000</t>
  </si>
  <si>
    <t>IBM180119C00200000</t>
  </si>
  <si>
    <t>IBM180119P00200000</t>
  </si>
  <si>
    <t>IBM180119C00210000</t>
  </si>
  <si>
    <t>IBM180119P00210000</t>
  </si>
  <si>
    <t>IBM180119C00220000</t>
  </si>
  <si>
    <t>IBM180119P00220000</t>
  </si>
  <si>
    <t>Pricing(Seek Arbitrage)</t>
  </si>
  <si>
    <t>Generate Report</t>
  </si>
  <si>
    <t>Please note: file saved in default path in your PC</t>
  </si>
  <si>
    <t>After check out the file, please close for further operation like email sender</t>
  </si>
  <si>
    <t>asalighe@stevens.du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</si>
</sst>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_);_(* \(#,##0\);_(* &quot;-&quot;??_);_(@_)"/>
    <numFmt numFmtId="166" formatCode="yyyy&quot;年&quot;m&quot;月&quot;d&quot;日&quot;;@"/>
    <numFmt numFmtId="167" formatCode="yy/m/d;@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sz val="10"/>
      <color indexed="10"/>
      <name val="Calibri"/>
      <family val="2"/>
    </font>
    <font>
      <sz val="10"/>
      <color indexed="10"/>
      <name val="Calibri"/>
      <family val="2"/>
      <scheme val="minor"/>
    </font>
    <font>
      <u/>
      <sz val="10"/>
      <color theme="10"/>
      <name val="Arial"/>
      <family val="2"/>
    </font>
    <font>
      <b/>
      <i/>
      <sz val="10"/>
      <name val="Calibri"/>
      <family val="2"/>
    </font>
    <font>
      <sz val="10"/>
      <name val="Arial"/>
      <family val="2"/>
    </font>
    <font>
      <sz val="26"/>
      <name val="Calibri"/>
      <family val="2"/>
    </font>
    <font>
      <b/>
      <i/>
      <sz val="10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9" fontId="11" fillId="0" borderId="0" applyFont="0" applyFill="0" applyBorder="0" applyAlignment="0" applyProtection="0"/>
  </cellStyleXfs>
  <cellXfs count="52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7" fillId="0" borderId="0" xfId="0" applyFont="1"/>
    <xf numFmtId="0" fontId="6" fillId="0" borderId="0" xfId="0" applyFont="1"/>
    <xf numFmtId="3" fontId="6" fillId="0" borderId="0" xfId="0" applyNumberFormat="1" applyFont="1" applyAlignment="1">
      <alignment horizontal="right"/>
    </xf>
    <xf numFmtId="14" fontId="6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7" fontId="6" fillId="0" borderId="0" xfId="0" applyNumberFormat="1" applyFont="1" applyAlignment="1">
      <alignment horizontal="right"/>
    </xf>
    <xf numFmtId="14" fontId="6" fillId="0" borderId="0" xfId="0" applyNumberFormat="1" applyFont="1"/>
    <xf numFmtId="2" fontId="6" fillId="0" borderId="0" xfId="0" applyNumberFormat="1" applyFont="1"/>
    <xf numFmtId="0" fontId="6" fillId="0" borderId="0" xfId="0" applyFont="1" applyAlignment="1">
      <alignment horizontal="left"/>
    </xf>
    <xf numFmtId="0" fontId="6" fillId="3" borderId="0" xfId="0" applyFont="1" applyFill="1" applyAlignment="1">
      <alignment horizontal="right" indent="1"/>
    </xf>
    <xf numFmtId="0" fontId="6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left" inden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indent="1"/>
    </xf>
    <xf numFmtId="3" fontId="6" fillId="3" borderId="0" xfId="0" applyNumberFormat="1" applyFont="1" applyFill="1" applyAlignment="1">
      <alignment horizontal="left" indent="1"/>
    </xf>
    <xf numFmtId="0" fontId="5" fillId="3" borderId="0" xfId="0" applyFont="1" applyFill="1" applyAlignment="1">
      <alignment horizontal="right" indent="1"/>
    </xf>
    <xf numFmtId="0" fontId="9" fillId="3" borderId="0" xfId="2" applyFill="1"/>
    <xf numFmtId="0" fontId="10" fillId="4" borderId="0" xfId="0" applyFont="1" applyFill="1"/>
    <xf numFmtId="0" fontId="5" fillId="4" borderId="0" xfId="0" applyFont="1" applyFill="1"/>
    <xf numFmtId="0" fontId="6" fillId="2" borderId="0" xfId="0" applyFont="1" applyFill="1"/>
    <xf numFmtId="0" fontId="12" fillId="3" borderId="0" xfId="0" applyFont="1" applyFill="1"/>
    <xf numFmtId="0" fontId="3" fillId="5" borderId="0" xfId="0" applyFont="1" applyFill="1"/>
    <xf numFmtId="0" fontId="3" fillId="6" borderId="0" xfId="0" applyFont="1" applyFill="1"/>
    <xf numFmtId="14" fontId="3" fillId="6" borderId="0" xfId="0" applyNumberFormat="1" applyFont="1" applyFill="1"/>
    <xf numFmtId="15" fontId="3" fillId="6" borderId="0" xfId="0" applyNumberFormat="1" applyFont="1" applyFill="1"/>
    <xf numFmtId="0" fontId="4" fillId="0" borderId="0" xfId="0" applyFont="1" applyFill="1"/>
    <xf numFmtId="0" fontId="3" fillId="0" borderId="0" xfId="0" applyFont="1" applyFill="1"/>
    <xf numFmtId="9" fontId="3" fillId="0" borderId="0" xfId="3" applyFont="1" applyFill="1"/>
    <xf numFmtId="0" fontId="4" fillId="0" borderId="1" xfId="0" applyFont="1" applyFill="1" applyBorder="1"/>
    <xf numFmtId="0" fontId="4" fillId="0" borderId="2" xfId="0" applyFont="1" applyFill="1" applyBorder="1"/>
    <xf numFmtId="9" fontId="4" fillId="0" borderId="0" xfId="3" applyFont="1" applyFill="1" applyAlignment="1">
      <alignment horizontal="right"/>
    </xf>
    <xf numFmtId="9" fontId="3" fillId="0" borderId="0" xfId="3" applyFont="1" applyFill="1" applyAlignment="1">
      <alignment horizontal="right"/>
    </xf>
    <xf numFmtId="0" fontId="8" fillId="0" borderId="0" xfId="0" applyFont="1" applyFill="1"/>
    <xf numFmtId="0" fontId="3" fillId="0" borderId="0" xfId="0" applyFont="1" applyFill="1" applyAlignment="1">
      <alignment horizontal="right"/>
    </xf>
    <xf numFmtId="165" fontId="4" fillId="0" borderId="3" xfId="1" applyNumberFormat="1" applyFont="1" applyFill="1" applyBorder="1"/>
    <xf numFmtId="165" fontId="4" fillId="0" borderId="4" xfId="1" applyNumberFormat="1" applyFont="1" applyFill="1" applyBorder="1"/>
    <xf numFmtId="165" fontId="3" fillId="0" borderId="0" xfId="0" applyNumberFormat="1" applyFont="1" applyFill="1"/>
    <xf numFmtId="0" fontId="5" fillId="0" borderId="0" xfId="0" applyFont="1" applyFill="1"/>
    <xf numFmtId="9" fontId="5" fillId="0" borderId="0" xfId="3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4" fillId="0" borderId="0" xfId="0" applyFont="1" applyFill="1" applyAlignment="1">
      <alignment horizontal="right"/>
    </xf>
    <xf numFmtId="14" fontId="3" fillId="0" borderId="0" xfId="0" applyNumberFormat="1" applyFont="1" applyFill="1"/>
    <xf numFmtId="15" fontId="3" fillId="0" borderId="0" xfId="0" applyNumberFormat="1" applyFont="1" applyFill="1"/>
    <xf numFmtId="4" fontId="3" fillId="0" borderId="0" xfId="0" applyNumberFormat="1" applyFont="1" applyFill="1"/>
    <xf numFmtId="0" fontId="6" fillId="0" borderId="0" xfId="0" applyFont="1" applyFill="1"/>
    <xf numFmtId="0" fontId="10" fillId="3" borderId="0" xfId="0" applyFont="1" applyFill="1"/>
    <xf numFmtId="0" fontId="13" fillId="3" borderId="0" xfId="0" applyFont="1" applyFill="1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4</xdr:col>
          <xdr:colOff>247650</xdr:colOff>
          <xdr:row>3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1724025</xdr:colOff>
          <xdr:row>4</xdr:row>
          <xdr:rowOff>142875</xdr:rowOff>
        </xdr:from>
        <xdr:to>
          <xdr:col>4</xdr:col>
          <xdr:colOff>276225</xdr:colOff>
          <xdr:row>7</xdr:row>
          <xdr:rowOff>76200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1724025</xdr:colOff>
          <xdr:row>23</xdr:row>
          <xdr:rowOff>9525</xdr:rowOff>
        </xdr:from>
        <xdr:to>
          <xdr:col>4</xdr:col>
          <xdr:colOff>314325</xdr:colOff>
          <xdr:row>25</xdr:row>
          <xdr:rowOff>104775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114300</xdr:rowOff>
        </xdr:from>
        <xdr:to>
          <xdr:col>4</xdr:col>
          <xdr:colOff>314325</xdr:colOff>
          <xdr:row>19</xdr:row>
          <xdr:rowOff>38100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ontrol" Target="../activeX/activeX2.xml"/><Relationship Id="rId18" Type="http://schemas.openxmlformats.org/officeDocument/2006/relationships/image" Target="../media/image4.emf"/><Relationship Id="rId3" Type="http://schemas.openxmlformats.org/officeDocument/2006/relationships/hyperlink" Target="mailto:xluo8@stevens.edu" TargetMode="External"/><Relationship Id="rId7" Type="http://schemas.openxmlformats.org/officeDocument/2006/relationships/hyperlink" Target="mailto:asalighe@stevens.du" TargetMode="External"/><Relationship Id="rId12" Type="http://schemas.openxmlformats.org/officeDocument/2006/relationships/image" Target="../media/image1.emf"/><Relationship Id="rId17" Type="http://schemas.openxmlformats.org/officeDocument/2006/relationships/control" Target="../activeX/activeX4.xml"/><Relationship Id="rId2" Type="http://schemas.openxmlformats.org/officeDocument/2006/relationships/hyperlink" Target="mailto:wli25@stevens.edu" TargetMode="External"/><Relationship Id="rId16" Type="http://schemas.openxmlformats.org/officeDocument/2006/relationships/image" Target="../media/image3.emf"/><Relationship Id="rId1" Type="http://schemas.openxmlformats.org/officeDocument/2006/relationships/hyperlink" Target="mailto:fe514xiaowan@gmail.com" TargetMode="External"/><Relationship Id="rId6" Type="http://schemas.openxmlformats.org/officeDocument/2006/relationships/hyperlink" Target="mailto:jade.wanli15@gmail.com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808@szetn.cn" TargetMode="External"/><Relationship Id="rId15" Type="http://schemas.openxmlformats.org/officeDocument/2006/relationships/control" Target="../activeX/activeX3.xml"/><Relationship Id="rId10" Type="http://schemas.openxmlformats.org/officeDocument/2006/relationships/vmlDrawing" Target="../drawings/vmlDrawing1.vml"/><Relationship Id="rId4" Type="http://schemas.openxmlformats.org/officeDocument/2006/relationships/hyperlink" Target="mailto:113437806@qq.com" TargetMode="External"/><Relationship Id="rId9" Type="http://schemas.openxmlformats.org/officeDocument/2006/relationships/drawing" Target="../drawings/drawing1.xml"/><Relationship Id="rId14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29"/>
  <sheetViews>
    <sheetView tabSelected="1" workbookViewId="0">
      <selection activeCell="J18" sqref="J18"/>
    </sheetView>
  </sheetViews>
  <sheetFormatPr defaultColWidth="9.140625" defaultRowHeight="12.75" x14ac:dyDescent="0.2"/>
  <cols>
    <col min="1" max="1" width="8.140625" style="14" customWidth="1"/>
    <col min="2" max="2" width="26" style="14" customWidth="1"/>
    <col min="3" max="9" width="11.5703125" style="13" bestFit="1" customWidth="1"/>
    <col min="10" max="10" width="21.7109375" style="14" bestFit="1" customWidth="1"/>
    <col min="11" max="17" width="11.5703125" style="14" bestFit="1" customWidth="1"/>
    <col min="18" max="16384" width="9.140625" style="14"/>
  </cols>
  <sheetData>
    <row r="1" spans="2:17" ht="48.75" customHeight="1" x14ac:dyDescent="0.5">
      <c r="B1" s="25" t="s">
        <v>39</v>
      </c>
      <c r="C1" s="14"/>
      <c r="D1" s="14"/>
      <c r="E1" s="14"/>
      <c r="F1" s="14"/>
      <c r="G1" s="14"/>
      <c r="H1" s="14"/>
      <c r="I1" s="14"/>
    </row>
    <row r="2" spans="2:17" x14ac:dyDescent="0.2">
      <c r="B2" s="23" t="s">
        <v>0</v>
      </c>
      <c r="C2" s="16"/>
      <c r="D2" s="17"/>
      <c r="E2" s="17"/>
      <c r="F2" s="18"/>
      <c r="G2" s="17"/>
      <c r="H2" s="17"/>
      <c r="I2" s="14"/>
    </row>
    <row r="3" spans="2:17" x14ac:dyDescent="0.2">
      <c r="B3" s="14" t="s">
        <v>1126</v>
      </c>
      <c r="C3" s="17"/>
      <c r="D3" s="17"/>
      <c r="E3" s="17"/>
      <c r="F3" s="17"/>
      <c r="G3" s="17"/>
      <c r="H3" s="17"/>
      <c r="I3" s="14"/>
    </row>
    <row r="4" spans="2:17" x14ac:dyDescent="0.2">
      <c r="C4" s="17"/>
      <c r="D4" s="16"/>
      <c r="E4" s="17"/>
      <c r="F4" s="17"/>
      <c r="G4" s="17"/>
      <c r="H4" s="17"/>
      <c r="I4" s="14"/>
    </row>
    <row r="5" spans="2:17" x14ac:dyDescent="0.2">
      <c r="B5" s="15"/>
      <c r="C5" s="16"/>
      <c r="D5" s="16"/>
      <c r="E5" s="16"/>
      <c r="F5" s="16"/>
      <c r="G5" s="16"/>
      <c r="H5" s="16"/>
      <c r="I5" s="14"/>
    </row>
    <row r="6" spans="2:17" x14ac:dyDescent="0.2">
      <c r="B6" s="22" t="s">
        <v>24</v>
      </c>
      <c r="C6" s="17"/>
      <c r="D6" s="17"/>
      <c r="E6" s="17"/>
      <c r="F6" s="17"/>
      <c r="G6" s="17"/>
      <c r="H6" s="19"/>
      <c r="I6" s="14"/>
    </row>
    <row r="7" spans="2:17" x14ac:dyDescent="0.2">
      <c r="B7" s="24" t="s">
        <v>19</v>
      </c>
      <c r="C7" s="14"/>
      <c r="D7" s="14"/>
      <c r="E7" s="14"/>
      <c r="F7" s="14"/>
      <c r="G7" s="14"/>
      <c r="H7" s="14"/>
      <c r="I7" s="14"/>
    </row>
    <row r="8" spans="2:17" x14ac:dyDescent="0.2">
      <c r="B8" s="24" t="s">
        <v>20</v>
      </c>
      <c r="C8" s="20"/>
      <c r="D8" s="20"/>
      <c r="E8" s="20"/>
      <c r="F8" s="20"/>
      <c r="G8" s="20"/>
      <c r="H8" s="20"/>
      <c r="I8" s="20"/>
      <c r="J8" s="15"/>
      <c r="K8" s="20"/>
      <c r="L8" s="20"/>
      <c r="M8" s="20"/>
      <c r="N8" s="20"/>
      <c r="O8" s="20"/>
      <c r="P8" s="20"/>
      <c r="Q8" s="20"/>
    </row>
    <row r="9" spans="2:17" x14ac:dyDescent="0.2">
      <c r="B9" s="22" t="s">
        <v>21</v>
      </c>
      <c r="C9" s="20"/>
      <c r="D9" s="20"/>
      <c r="E9" s="20"/>
      <c r="F9" s="20"/>
      <c r="G9" s="20"/>
      <c r="H9" s="20"/>
      <c r="I9" s="20"/>
      <c r="J9" s="15"/>
      <c r="K9" s="20"/>
      <c r="L9" s="20"/>
      <c r="M9" s="20"/>
      <c r="N9" s="20"/>
      <c r="O9" s="20"/>
      <c r="P9" s="20"/>
      <c r="Q9" s="20"/>
    </row>
    <row r="10" spans="2:17" x14ac:dyDescent="0.2">
      <c r="B10" s="24" t="s">
        <v>22</v>
      </c>
      <c r="K10" s="13"/>
      <c r="L10" s="13"/>
      <c r="M10" s="13"/>
      <c r="N10" s="13"/>
      <c r="O10" s="13"/>
      <c r="P10" s="13"/>
      <c r="Q10" s="13"/>
    </row>
    <row r="11" spans="2:17" x14ac:dyDescent="0.2">
      <c r="B11" s="24" t="s">
        <v>13</v>
      </c>
      <c r="K11" s="13"/>
      <c r="L11" s="13"/>
      <c r="M11" s="13"/>
      <c r="N11" s="13"/>
      <c r="O11" s="13"/>
      <c r="P11" s="13"/>
      <c r="Q11" s="13"/>
    </row>
    <row r="12" spans="2:17" x14ac:dyDescent="0.2">
      <c r="B12" s="24" t="s">
        <v>15</v>
      </c>
      <c r="K12" s="13"/>
      <c r="L12" s="13"/>
      <c r="M12" s="13"/>
      <c r="N12" s="13"/>
      <c r="O12" s="13"/>
      <c r="P12" s="13"/>
      <c r="Q12" s="13"/>
    </row>
    <row r="13" spans="2:17" x14ac:dyDescent="0.2">
      <c r="B13" s="24" t="s">
        <v>14</v>
      </c>
      <c r="K13" s="13"/>
      <c r="L13" s="13"/>
      <c r="M13" s="13"/>
      <c r="N13" s="13"/>
      <c r="O13" s="13"/>
      <c r="P13" s="13"/>
      <c r="Q13" s="13"/>
    </row>
    <row r="14" spans="2:17" x14ac:dyDescent="0.2">
      <c r="B14" s="24" t="s">
        <v>23</v>
      </c>
      <c r="K14" s="13"/>
      <c r="L14" s="13"/>
      <c r="M14" s="13"/>
      <c r="N14" s="13"/>
      <c r="O14" s="13"/>
      <c r="P14" s="13"/>
      <c r="Q14" s="13"/>
    </row>
    <row r="15" spans="2:17" x14ac:dyDescent="0.2">
      <c r="B15" s="22" t="s">
        <v>1835</v>
      </c>
      <c r="K15" s="13"/>
      <c r="L15" s="13"/>
      <c r="M15" s="13"/>
      <c r="N15" s="13"/>
      <c r="O15" s="13"/>
      <c r="P15" s="13"/>
      <c r="Q15" s="13"/>
    </row>
    <row r="16" spans="2:17" x14ac:dyDescent="0.2">
      <c r="B16" s="24" t="s">
        <v>25</v>
      </c>
      <c r="K16" s="13"/>
      <c r="L16" s="13"/>
      <c r="M16" s="13"/>
      <c r="N16" s="13"/>
      <c r="O16" s="13"/>
      <c r="P16" s="13"/>
      <c r="Q16" s="13"/>
    </row>
    <row r="17" spans="1:17" x14ac:dyDescent="0.2">
      <c r="B17" s="24"/>
      <c r="K17" s="13"/>
      <c r="L17" s="13"/>
      <c r="M17" s="13"/>
      <c r="N17" s="13"/>
      <c r="O17" s="13"/>
      <c r="P17" s="13"/>
      <c r="Q17" s="13"/>
    </row>
    <row r="18" spans="1:17" x14ac:dyDescent="0.2">
      <c r="B18" s="49"/>
      <c r="K18" s="13"/>
      <c r="L18" s="13"/>
      <c r="M18" s="13"/>
      <c r="N18" s="13"/>
      <c r="O18" s="13"/>
      <c r="P18" s="13"/>
      <c r="Q18" s="13"/>
    </row>
    <row r="19" spans="1:17" x14ac:dyDescent="0.2">
      <c r="B19" s="22" t="s">
        <v>1836</v>
      </c>
      <c r="K19" s="13"/>
      <c r="L19" s="13"/>
      <c r="M19" s="13"/>
      <c r="N19" s="13"/>
      <c r="O19" s="13"/>
      <c r="P19" s="13"/>
      <c r="Q19" s="13"/>
    </row>
    <row r="20" spans="1:17" x14ac:dyDescent="0.2">
      <c r="B20" s="50" t="s">
        <v>1837</v>
      </c>
      <c r="K20" s="13"/>
      <c r="L20" s="13"/>
      <c r="M20" s="13"/>
      <c r="N20" s="13"/>
      <c r="O20" s="13"/>
      <c r="P20" s="13"/>
      <c r="Q20" s="13"/>
    </row>
    <row r="21" spans="1:17" x14ac:dyDescent="0.2">
      <c r="B21" s="51" t="s">
        <v>1838</v>
      </c>
      <c r="K21" s="13"/>
      <c r="L21" s="13"/>
      <c r="M21" s="13"/>
      <c r="N21" s="13"/>
      <c r="O21" s="13"/>
      <c r="P21" s="13"/>
      <c r="Q21" s="13"/>
    </row>
    <row r="22" spans="1:17" x14ac:dyDescent="0.2">
      <c r="K22" s="13"/>
      <c r="L22" s="13"/>
      <c r="M22" s="13"/>
      <c r="N22" s="13"/>
      <c r="O22" s="13"/>
      <c r="P22" s="13"/>
      <c r="Q22" s="13"/>
    </row>
    <row r="23" spans="1:17" x14ac:dyDescent="0.2">
      <c r="K23" s="13"/>
      <c r="L23" s="13"/>
      <c r="M23" s="13"/>
      <c r="N23" s="13"/>
      <c r="O23" s="13"/>
      <c r="P23" s="13"/>
      <c r="Q23" s="13"/>
    </row>
    <row r="24" spans="1:17" x14ac:dyDescent="0.2">
      <c r="A24" s="14" t="s">
        <v>38</v>
      </c>
      <c r="B24" s="21" t="s">
        <v>26</v>
      </c>
      <c r="K24" s="13"/>
      <c r="L24" s="13"/>
      <c r="M24" s="13"/>
      <c r="N24" s="13"/>
      <c r="O24" s="13"/>
      <c r="P24" s="13"/>
      <c r="Q24" s="13"/>
    </row>
    <row r="25" spans="1:17" x14ac:dyDescent="0.2">
      <c r="A25" s="14" t="s">
        <v>40</v>
      </c>
      <c r="B25" s="21" t="s">
        <v>30</v>
      </c>
      <c r="K25" s="13"/>
      <c r="L25" s="13"/>
      <c r="M25" s="13"/>
      <c r="N25" s="13"/>
      <c r="O25" s="13"/>
      <c r="P25" s="13"/>
      <c r="Q25" s="13"/>
    </row>
    <row r="26" spans="1:17" x14ac:dyDescent="0.2">
      <c r="A26" s="14" t="s">
        <v>31</v>
      </c>
      <c r="B26" s="21" t="s">
        <v>1839</v>
      </c>
      <c r="K26" s="13"/>
      <c r="L26" s="13"/>
      <c r="M26" s="13"/>
      <c r="N26" s="13"/>
      <c r="O26" s="13"/>
      <c r="P26" s="13"/>
      <c r="Q26" s="13"/>
    </row>
    <row r="27" spans="1:17" x14ac:dyDescent="0.2">
      <c r="A27" s="14" t="s">
        <v>32</v>
      </c>
      <c r="B27" s="21" t="s">
        <v>41</v>
      </c>
      <c r="K27" s="13"/>
      <c r="L27" s="13"/>
      <c r="M27" s="13"/>
      <c r="N27" s="13"/>
      <c r="O27" s="13"/>
      <c r="P27" s="13"/>
      <c r="Q27" s="13"/>
    </row>
    <row r="28" spans="1:17" x14ac:dyDescent="0.2">
      <c r="A28" s="14" t="s">
        <v>33</v>
      </c>
      <c r="B28" s="21" t="s">
        <v>27</v>
      </c>
      <c r="K28" s="13"/>
      <c r="L28" s="13"/>
      <c r="M28" s="13"/>
      <c r="N28" s="13"/>
      <c r="O28" s="13"/>
      <c r="P28" s="13"/>
      <c r="Q28" s="13"/>
    </row>
    <row r="29" spans="1:17" x14ac:dyDescent="0.2">
      <c r="A29" s="14" t="s">
        <v>34</v>
      </c>
      <c r="B29" s="21" t="s">
        <v>37</v>
      </c>
      <c r="K29" s="13"/>
      <c r="L29" s="13"/>
      <c r="M29" s="13"/>
      <c r="N29" s="13"/>
      <c r="O29" s="13"/>
      <c r="P29" s="13"/>
      <c r="Q29" s="13"/>
    </row>
    <row r="30" spans="1:17" x14ac:dyDescent="0.2">
      <c r="A30" s="14" t="s">
        <v>35</v>
      </c>
      <c r="B30" s="21" t="s">
        <v>36</v>
      </c>
      <c r="K30" s="13"/>
      <c r="L30" s="13"/>
      <c r="M30" s="13"/>
      <c r="N30" s="13"/>
      <c r="O30" s="13"/>
      <c r="P30" s="13"/>
      <c r="Q30" s="13"/>
    </row>
    <row r="31" spans="1:17" x14ac:dyDescent="0.2">
      <c r="K31" s="13"/>
      <c r="L31" s="13"/>
      <c r="M31" s="13"/>
      <c r="N31" s="13"/>
      <c r="O31" s="13"/>
      <c r="P31" s="13"/>
      <c r="Q31" s="13"/>
    </row>
    <row r="32" spans="1:17" x14ac:dyDescent="0.2">
      <c r="K32" s="13"/>
      <c r="L32" s="13"/>
      <c r="M32" s="13"/>
      <c r="N32" s="13"/>
      <c r="O32" s="13"/>
      <c r="P32" s="13"/>
      <c r="Q32" s="13"/>
    </row>
    <row r="33" spans="11:17" x14ac:dyDescent="0.2">
      <c r="K33" s="13"/>
      <c r="L33" s="13"/>
      <c r="M33" s="13"/>
      <c r="N33" s="13"/>
      <c r="O33" s="13"/>
      <c r="P33" s="13"/>
      <c r="Q33" s="13"/>
    </row>
    <row r="34" spans="11:17" x14ac:dyDescent="0.2">
      <c r="K34" s="13"/>
      <c r="L34" s="13"/>
      <c r="M34" s="13"/>
      <c r="N34" s="13"/>
      <c r="O34" s="13"/>
      <c r="P34" s="13"/>
      <c r="Q34" s="13"/>
    </row>
    <row r="35" spans="11:17" x14ac:dyDescent="0.2">
      <c r="K35" s="13"/>
      <c r="L35" s="13"/>
      <c r="M35" s="13"/>
      <c r="N35" s="13"/>
      <c r="O35" s="13"/>
      <c r="P35" s="13"/>
      <c r="Q35" s="13"/>
    </row>
    <row r="36" spans="11:17" x14ac:dyDescent="0.2">
      <c r="K36" s="13"/>
      <c r="L36" s="13"/>
      <c r="M36" s="13"/>
      <c r="N36" s="13"/>
      <c r="O36" s="13"/>
      <c r="P36" s="13"/>
      <c r="Q36" s="13"/>
    </row>
    <row r="37" spans="11:17" x14ac:dyDescent="0.2">
      <c r="K37" s="13"/>
      <c r="L37" s="13"/>
      <c r="M37" s="13"/>
      <c r="N37" s="13"/>
      <c r="O37" s="13"/>
      <c r="P37" s="13"/>
      <c r="Q37" s="13"/>
    </row>
    <row r="38" spans="11:17" x14ac:dyDescent="0.2">
      <c r="K38" s="13"/>
      <c r="L38" s="13"/>
      <c r="M38" s="13"/>
      <c r="N38" s="13"/>
      <c r="O38" s="13"/>
      <c r="P38" s="13"/>
      <c r="Q38" s="13"/>
    </row>
    <row r="39" spans="11:17" x14ac:dyDescent="0.2">
      <c r="K39" s="13"/>
      <c r="L39" s="13"/>
      <c r="M39" s="13"/>
      <c r="N39" s="13"/>
      <c r="O39" s="13"/>
      <c r="P39" s="13"/>
      <c r="Q39" s="13"/>
    </row>
    <row r="40" spans="11:17" x14ac:dyDescent="0.2">
      <c r="K40" s="13"/>
      <c r="L40" s="13"/>
      <c r="M40" s="13"/>
      <c r="N40" s="13"/>
      <c r="O40" s="13"/>
      <c r="P40" s="13"/>
      <c r="Q40" s="13"/>
    </row>
    <row r="41" spans="11:17" x14ac:dyDescent="0.2">
      <c r="K41" s="13"/>
      <c r="L41" s="13"/>
      <c r="M41" s="13"/>
      <c r="N41" s="13"/>
      <c r="O41" s="13"/>
      <c r="P41" s="13"/>
      <c r="Q41" s="13"/>
    </row>
    <row r="42" spans="11:17" x14ac:dyDescent="0.2">
      <c r="K42" s="13"/>
      <c r="L42" s="13"/>
      <c r="M42" s="13"/>
      <c r="N42" s="13"/>
      <c r="O42" s="13"/>
      <c r="P42" s="13"/>
      <c r="Q42" s="13"/>
    </row>
    <row r="43" spans="11:17" x14ac:dyDescent="0.2">
      <c r="K43" s="13"/>
      <c r="L43" s="13"/>
      <c r="M43" s="13"/>
      <c r="N43" s="13"/>
      <c r="O43" s="13"/>
      <c r="P43" s="13"/>
      <c r="Q43" s="13"/>
    </row>
    <row r="44" spans="11:17" x14ac:dyDescent="0.2">
      <c r="K44" s="13"/>
      <c r="L44" s="13"/>
      <c r="M44" s="13"/>
      <c r="N44" s="13"/>
      <c r="O44" s="13"/>
      <c r="P44" s="13"/>
      <c r="Q44" s="13"/>
    </row>
    <row r="45" spans="11:17" x14ac:dyDescent="0.2">
      <c r="K45" s="13"/>
      <c r="L45" s="13"/>
      <c r="M45" s="13"/>
      <c r="N45" s="13"/>
      <c r="O45" s="13"/>
      <c r="P45" s="13"/>
      <c r="Q45" s="13"/>
    </row>
    <row r="46" spans="11:17" x14ac:dyDescent="0.2">
      <c r="K46" s="13"/>
      <c r="L46" s="13"/>
      <c r="M46" s="13"/>
      <c r="N46" s="13"/>
      <c r="O46" s="13"/>
      <c r="P46" s="13"/>
      <c r="Q46" s="13"/>
    </row>
    <row r="47" spans="11:17" x14ac:dyDescent="0.2">
      <c r="K47" s="13"/>
      <c r="L47" s="13"/>
      <c r="M47" s="13"/>
      <c r="N47" s="13"/>
      <c r="O47" s="13"/>
      <c r="P47" s="13"/>
      <c r="Q47" s="13"/>
    </row>
    <row r="48" spans="11:17" x14ac:dyDescent="0.2">
      <c r="K48" s="13"/>
      <c r="L48" s="13"/>
      <c r="M48" s="13"/>
      <c r="N48" s="13"/>
      <c r="O48" s="13"/>
      <c r="P48" s="13"/>
      <c r="Q48" s="13"/>
    </row>
    <row r="49" spans="11:17" x14ac:dyDescent="0.2">
      <c r="K49" s="13"/>
      <c r="L49" s="13"/>
      <c r="M49" s="13"/>
      <c r="N49" s="13"/>
      <c r="O49" s="13"/>
      <c r="P49" s="13"/>
      <c r="Q49" s="13"/>
    </row>
    <row r="50" spans="11:17" x14ac:dyDescent="0.2">
      <c r="K50" s="13"/>
      <c r="L50" s="13"/>
      <c r="M50" s="13"/>
      <c r="N50" s="13"/>
      <c r="O50" s="13"/>
      <c r="P50" s="13"/>
      <c r="Q50" s="13"/>
    </row>
    <row r="51" spans="11:17" x14ac:dyDescent="0.2">
      <c r="K51" s="13"/>
      <c r="L51" s="13"/>
      <c r="M51" s="13"/>
      <c r="N51" s="13"/>
      <c r="O51" s="13"/>
      <c r="P51" s="13"/>
      <c r="Q51" s="13"/>
    </row>
    <row r="52" spans="11:17" x14ac:dyDescent="0.2">
      <c r="K52" s="13"/>
      <c r="L52" s="13"/>
      <c r="M52" s="13"/>
      <c r="N52" s="13"/>
      <c r="O52" s="13"/>
      <c r="P52" s="13"/>
      <c r="Q52" s="13"/>
    </row>
    <row r="53" spans="11:17" x14ac:dyDescent="0.2">
      <c r="K53" s="13"/>
      <c r="L53" s="13"/>
      <c r="M53" s="13"/>
      <c r="N53" s="13"/>
      <c r="O53" s="13"/>
      <c r="P53" s="13"/>
      <c r="Q53" s="13"/>
    </row>
    <row r="54" spans="11:17" x14ac:dyDescent="0.2">
      <c r="K54" s="13"/>
      <c r="L54" s="13"/>
      <c r="M54" s="13"/>
      <c r="N54" s="13"/>
      <c r="O54" s="13"/>
      <c r="P54" s="13"/>
      <c r="Q54" s="13"/>
    </row>
    <row r="55" spans="11:17" x14ac:dyDescent="0.2">
      <c r="K55" s="13"/>
      <c r="L55" s="13"/>
      <c r="M55" s="13"/>
      <c r="N55" s="13"/>
      <c r="O55" s="13"/>
      <c r="P55" s="13"/>
      <c r="Q55" s="13"/>
    </row>
    <row r="56" spans="11:17" x14ac:dyDescent="0.2">
      <c r="K56" s="13"/>
      <c r="L56" s="13"/>
      <c r="M56" s="13"/>
      <c r="N56" s="13"/>
      <c r="O56" s="13"/>
      <c r="P56" s="13"/>
      <c r="Q56" s="13"/>
    </row>
    <row r="57" spans="11:17" x14ac:dyDescent="0.2">
      <c r="K57" s="13"/>
      <c r="L57" s="13"/>
      <c r="M57" s="13"/>
      <c r="N57" s="13"/>
      <c r="O57" s="13"/>
      <c r="P57" s="13"/>
      <c r="Q57" s="13"/>
    </row>
    <row r="58" spans="11:17" x14ac:dyDescent="0.2">
      <c r="K58" s="13"/>
      <c r="L58" s="13"/>
      <c r="M58" s="13"/>
      <c r="N58" s="13"/>
      <c r="O58" s="13"/>
      <c r="P58" s="13"/>
      <c r="Q58" s="13"/>
    </row>
    <row r="59" spans="11:17" x14ac:dyDescent="0.2">
      <c r="K59" s="13"/>
      <c r="L59" s="13"/>
      <c r="M59" s="13"/>
      <c r="N59" s="13"/>
      <c r="O59" s="13"/>
      <c r="P59" s="13"/>
      <c r="Q59" s="13"/>
    </row>
    <row r="60" spans="11:17" x14ac:dyDescent="0.2">
      <c r="K60" s="13"/>
      <c r="L60" s="13"/>
      <c r="M60" s="13"/>
      <c r="N60" s="13"/>
      <c r="O60" s="13"/>
      <c r="P60" s="13"/>
      <c r="Q60" s="13"/>
    </row>
    <row r="61" spans="11:17" x14ac:dyDescent="0.2">
      <c r="K61" s="13"/>
      <c r="L61" s="13"/>
      <c r="M61" s="13"/>
      <c r="N61" s="13"/>
      <c r="O61" s="13"/>
      <c r="P61" s="13"/>
      <c r="Q61" s="13"/>
    </row>
    <row r="62" spans="11:17" x14ac:dyDescent="0.2">
      <c r="K62" s="13"/>
      <c r="L62" s="13"/>
      <c r="M62" s="13"/>
      <c r="N62" s="13"/>
      <c r="O62" s="13"/>
      <c r="P62" s="13"/>
      <c r="Q62" s="13"/>
    </row>
    <row r="63" spans="11:17" x14ac:dyDescent="0.2">
      <c r="K63" s="13"/>
      <c r="L63" s="13"/>
      <c r="M63" s="13"/>
      <c r="N63" s="13"/>
      <c r="O63" s="13"/>
      <c r="P63" s="13"/>
      <c r="Q63" s="13"/>
    </row>
    <row r="64" spans="11:17" x14ac:dyDescent="0.2">
      <c r="K64" s="13"/>
      <c r="L64" s="13"/>
      <c r="M64" s="13"/>
      <c r="N64" s="13"/>
      <c r="O64" s="13"/>
      <c r="P64" s="13"/>
      <c r="Q64" s="13"/>
    </row>
    <row r="65" spans="11:17" x14ac:dyDescent="0.2">
      <c r="K65" s="13"/>
      <c r="L65" s="13"/>
      <c r="M65" s="13"/>
      <c r="N65" s="13"/>
      <c r="O65" s="13"/>
      <c r="P65" s="13"/>
      <c r="Q65" s="13"/>
    </row>
    <row r="66" spans="11:17" x14ac:dyDescent="0.2">
      <c r="K66" s="13"/>
      <c r="L66" s="13"/>
      <c r="M66" s="13"/>
      <c r="N66" s="13"/>
      <c r="O66" s="13"/>
      <c r="P66" s="13"/>
      <c r="Q66" s="13"/>
    </row>
    <row r="67" spans="11:17" x14ac:dyDescent="0.2">
      <c r="K67" s="13"/>
      <c r="L67" s="13"/>
      <c r="M67" s="13"/>
      <c r="N67" s="13"/>
      <c r="O67" s="13"/>
      <c r="P67" s="13"/>
      <c r="Q67" s="13"/>
    </row>
    <row r="68" spans="11:17" x14ac:dyDescent="0.2">
      <c r="K68" s="13"/>
      <c r="L68" s="13"/>
      <c r="M68" s="13"/>
      <c r="N68" s="13"/>
      <c r="O68" s="13"/>
      <c r="P68" s="13"/>
      <c r="Q68" s="13"/>
    </row>
    <row r="69" spans="11:17" x14ac:dyDescent="0.2">
      <c r="K69" s="13"/>
      <c r="L69" s="13"/>
      <c r="M69" s="13"/>
      <c r="N69" s="13"/>
      <c r="O69" s="13"/>
      <c r="P69" s="13"/>
      <c r="Q69" s="13"/>
    </row>
    <row r="70" spans="11:17" x14ac:dyDescent="0.2">
      <c r="K70" s="13"/>
      <c r="L70" s="13"/>
      <c r="M70" s="13"/>
      <c r="N70" s="13"/>
      <c r="O70" s="13"/>
      <c r="P70" s="13"/>
      <c r="Q70" s="13"/>
    </row>
    <row r="71" spans="11:17" x14ac:dyDescent="0.2">
      <c r="K71" s="13"/>
      <c r="L71" s="13"/>
      <c r="M71" s="13"/>
      <c r="N71" s="13"/>
      <c r="O71" s="13"/>
      <c r="P71" s="13"/>
      <c r="Q71" s="13"/>
    </row>
    <row r="72" spans="11:17" x14ac:dyDescent="0.2">
      <c r="K72" s="13"/>
      <c r="L72" s="13"/>
      <c r="M72" s="13"/>
      <c r="N72" s="13"/>
      <c r="O72" s="13"/>
      <c r="P72" s="13"/>
      <c r="Q72" s="13"/>
    </row>
    <row r="73" spans="11:17" x14ac:dyDescent="0.2">
      <c r="K73" s="13"/>
      <c r="L73" s="13"/>
      <c r="M73" s="13"/>
      <c r="N73" s="13"/>
      <c r="O73" s="13"/>
      <c r="P73" s="13"/>
      <c r="Q73" s="13"/>
    </row>
    <row r="74" spans="11:17" x14ac:dyDescent="0.2">
      <c r="K74" s="13"/>
      <c r="L74" s="13"/>
      <c r="M74" s="13"/>
      <c r="N74" s="13"/>
      <c r="O74" s="13"/>
      <c r="P74" s="13"/>
      <c r="Q74" s="13"/>
    </row>
    <row r="75" spans="11:17" x14ac:dyDescent="0.2">
      <c r="K75" s="13"/>
      <c r="L75" s="13"/>
      <c r="M75" s="13"/>
      <c r="N75" s="13"/>
      <c r="O75" s="13"/>
      <c r="P75" s="13"/>
      <c r="Q75" s="13"/>
    </row>
    <row r="76" spans="11:17" x14ac:dyDescent="0.2">
      <c r="K76" s="13"/>
      <c r="L76" s="13"/>
      <c r="M76" s="13"/>
      <c r="N76" s="13"/>
      <c r="O76" s="13"/>
      <c r="P76" s="13"/>
      <c r="Q76" s="13"/>
    </row>
    <row r="77" spans="11:17" x14ac:dyDescent="0.2">
      <c r="K77" s="13"/>
      <c r="L77" s="13"/>
      <c r="M77" s="13"/>
      <c r="N77" s="13"/>
      <c r="O77" s="13"/>
      <c r="P77" s="13"/>
      <c r="Q77" s="13"/>
    </row>
    <row r="78" spans="11:17" x14ac:dyDescent="0.2">
      <c r="K78" s="13"/>
      <c r="L78" s="13"/>
      <c r="M78" s="13"/>
      <c r="N78" s="13"/>
      <c r="O78" s="13"/>
      <c r="P78" s="13"/>
      <c r="Q78" s="13"/>
    </row>
    <row r="79" spans="11:17" x14ac:dyDescent="0.2">
      <c r="K79" s="13"/>
      <c r="L79" s="13"/>
      <c r="M79" s="13"/>
      <c r="N79" s="13"/>
      <c r="O79" s="13"/>
      <c r="P79" s="13"/>
      <c r="Q79" s="13"/>
    </row>
    <row r="80" spans="11:17" x14ac:dyDescent="0.2">
      <c r="K80" s="13"/>
      <c r="L80" s="13"/>
      <c r="M80" s="13"/>
      <c r="N80" s="13"/>
      <c r="O80" s="13"/>
      <c r="P80" s="13"/>
      <c r="Q80" s="13"/>
    </row>
    <row r="81" spans="11:17" x14ac:dyDescent="0.2">
      <c r="K81" s="13"/>
      <c r="L81" s="13"/>
      <c r="M81" s="13"/>
      <c r="N81" s="13"/>
      <c r="O81" s="13"/>
      <c r="P81" s="13"/>
      <c r="Q81" s="13"/>
    </row>
    <row r="82" spans="11:17" x14ac:dyDescent="0.2">
      <c r="K82" s="13"/>
      <c r="L82" s="13"/>
      <c r="M82" s="13"/>
      <c r="N82" s="13"/>
      <c r="O82" s="13"/>
      <c r="P82" s="13"/>
      <c r="Q82" s="13"/>
    </row>
    <row r="83" spans="11:17" x14ac:dyDescent="0.2">
      <c r="K83" s="13"/>
      <c r="L83" s="13"/>
      <c r="M83" s="13"/>
      <c r="N83" s="13"/>
      <c r="O83" s="13"/>
      <c r="P83" s="13"/>
      <c r="Q83" s="13"/>
    </row>
    <row r="84" spans="11:17" x14ac:dyDescent="0.2">
      <c r="K84" s="13"/>
      <c r="L84" s="13"/>
      <c r="M84" s="13"/>
      <c r="N84" s="13"/>
      <c r="O84" s="13"/>
      <c r="P84" s="13"/>
      <c r="Q84" s="13"/>
    </row>
    <row r="85" spans="11:17" x14ac:dyDescent="0.2">
      <c r="K85" s="13"/>
      <c r="L85" s="13"/>
      <c r="M85" s="13"/>
      <c r="N85" s="13"/>
      <c r="O85" s="13"/>
      <c r="P85" s="13"/>
      <c r="Q85" s="13"/>
    </row>
    <row r="86" spans="11:17" x14ac:dyDescent="0.2">
      <c r="K86" s="13"/>
      <c r="L86" s="13"/>
      <c r="M86" s="13"/>
      <c r="N86" s="13"/>
      <c r="O86" s="13"/>
      <c r="P86" s="13"/>
      <c r="Q86" s="13"/>
    </row>
    <row r="87" spans="11:17" x14ac:dyDescent="0.2">
      <c r="K87" s="13"/>
      <c r="L87" s="13"/>
      <c r="M87" s="13"/>
      <c r="N87" s="13"/>
      <c r="O87" s="13"/>
      <c r="P87" s="13"/>
      <c r="Q87" s="13"/>
    </row>
    <row r="88" spans="11:17" x14ac:dyDescent="0.2">
      <c r="K88" s="13"/>
      <c r="L88" s="13"/>
      <c r="M88" s="13"/>
      <c r="N88" s="13"/>
      <c r="O88" s="13"/>
      <c r="P88" s="13"/>
      <c r="Q88" s="13"/>
    </row>
    <row r="89" spans="11:17" x14ac:dyDescent="0.2">
      <c r="K89" s="13"/>
      <c r="L89" s="13"/>
      <c r="M89" s="13"/>
      <c r="N89" s="13"/>
      <c r="O89" s="13"/>
      <c r="P89" s="13"/>
      <c r="Q89" s="13"/>
    </row>
    <row r="90" spans="11:17" x14ac:dyDescent="0.2">
      <c r="K90" s="13"/>
      <c r="L90" s="13"/>
      <c r="M90" s="13"/>
      <c r="N90" s="13"/>
      <c r="O90" s="13"/>
      <c r="P90" s="13"/>
      <c r="Q90" s="13"/>
    </row>
    <row r="91" spans="11:17" x14ac:dyDescent="0.2">
      <c r="K91" s="13"/>
      <c r="L91" s="13"/>
      <c r="M91" s="13"/>
      <c r="N91" s="13"/>
      <c r="O91" s="13"/>
      <c r="P91" s="13"/>
      <c r="Q91" s="13"/>
    </row>
    <row r="92" spans="11:17" x14ac:dyDescent="0.2">
      <c r="K92" s="13"/>
      <c r="L92" s="13"/>
      <c r="M92" s="13"/>
      <c r="N92" s="13"/>
      <c r="O92" s="13"/>
      <c r="P92" s="13"/>
      <c r="Q92" s="13"/>
    </row>
    <row r="93" spans="11:17" x14ac:dyDescent="0.2">
      <c r="K93" s="13"/>
      <c r="L93" s="13"/>
      <c r="M93" s="13"/>
      <c r="N93" s="13"/>
      <c r="O93" s="13"/>
      <c r="P93" s="13"/>
      <c r="Q93" s="13"/>
    </row>
    <row r="94" spans="11:17" x14ac:dyDescent="0.2">
      <c r="K94" s="13"/>
      <c r="L94" s="13"/>
      <c r="M94" s="13"/>
      <c r="N94" s="13"/>
      <c r="O94" s="13"/>
      <c r="P94" s="13"/>
      <c r="Q94" s="13"/>
    </row>
    <row r="95" spans="11:17" x14ac:dyDescent="0.2">
      <c r="K95" s="13"/>
      <c r="L95" s="13"/>
      <c r="M95" s="13"/>
      <c r="N95" s="13"/>
      <c r="O95" s="13"/>
      <c r="P95" s="13"/>
      <c r="Q95" s="13"/>
    </row>
    <row r="96" spans="11:17" x14ac:dyDescent="0.2">
      <c r="K96" s="13"/>
      <c r="L96" s="13"/>
      <c r="M96" s="13"/>
      <c r="N96" s="13"/>
      <c r="O96" s="13"/>
      <c r="P96" s="13"/>
      <c r="Q96" s="13"/>
    </row>
    <row r="97" spans="11:17" x14ac:dyDescent="0.2">
      <c r="K97" s="13"/>
      <c r="L97" s="13"/>
      <c r="M97" s="13"/>
      <c r="N97" s="13"/>
      <c r="O97" s="13"/>
      <c r="P97" s="13"/>
      <c r="Q97" s="13"/>
    </row>
    <row r="98" spans="11:17" x14ac:dyDescent="0.2">
      <c r="K98" s="13"/>
      <c r="L98" s="13"/>
      <c r="M98" s="13"/>
      <c r="N98" s="13"/>
      <c r="O98" s="13"/>
      <c r="P98" s="13"/>
      <c r="Q98" s="13"/>
    </row>
    <row r="99" spans="11:17" x14ac:dyDescent="0.2">
      <c r="K99" s="13"/>
      <c r="L99" s="13"/>
      <c r="M99" s="13"/>
      <c r="N99" s="13"/>
      <c r="O99" s="13"/>
      <c r="P99" s="13"/>
      <c r="Q99" s="13"/>
    </row>
    <row r="100" spans="11:17" x14ac:dyDescent="0.2">
      <c r="K100" s="13"/>
      <c r="L100" s="13"/>
      <c r="M100" s="13"/>
      <c r="N100" s="13"/>
      <c r="O100" s="13"/>
      <c r="P100" s="13"/>
      <c r="Q100" s="13"/>
    </row>
    <row r="101" spans="11:17" x14ac:dyDescent="0.2">
      <c r="K101" s="13"/>
      <c r="L101" s="13"/>
      <c r="M101" s="13"/>
      <c r="N101" s="13"/>
      <c r="O101" s="13"/>
      <c r="P101" s="13"/>
      <c r="Q101" s="13"/>
    </row>
    <row r="102" spans="11:17" x14ac:dyDescent="0.2">
      <c r="K102" s="13"/>
      <c r="L102" s="13"/>
      <c r="M102" s="13"/>
      <c r="N102" s="13"/>
      <c r="O102" s="13"/>
      <c r="P102" s="13"/>
      <c r="Q102" s="13"/>
    </row>
    <row r="103" spans="11:17" x14ac:dyDescent="0.2">
      <c r="K103" s="13"/>
      <c r="L103" s="13"/>
      <c r="M103" s="13"/>
      <c r="N103" s="13"/>
      <c r="O103" s="13"/>
      <c r="P103" s="13"/>
      <c r="Q103" s="13"/>
    </row>
    <row r="104" spans="11:17" x14ac:dyDescent="0.2">
      <c r="K104" s="13"/>
      <c r="L104" s="13"/>
      <c r="M104" s="13"/>
      <c r="N104" s="13"/>
      <c r="O104" s="13"/>
      <c r="P104" s="13"/>
      <c r="Q104" s="13"/>
    </row>
    <row r="105" spans="11:17" x14ac:dyDescent="0.2">
      <c r="K105" s="13"/>
      <c r="L105" s="13"/>
      <c r="M105" s="13"/>
      <c r="N105" s="13"/>
      <c r="O105" s="13"/>
      <c r="P105" s="13"/>
      <c r="Q105" s="13"/>
    </row>
    <row r="106" spans="11:17" x14ac:dyDescent="0.2">
      <c r="K106" s="13"/>
      <c r="L106" s="13"/>
      <c r="M106" s="13"/>
      <c r="N106" s="13"/>
      <c r="O106" s="13"/>
      <c r="P106" s="13"/>
      <c r="Q106" s="13"/>
    </row>
    <row r="107" spans="11:17" x14ac:dyDescent="0.2">
      <c r="K107" s="13"/>
      <c r="L107" s="13"/>
      <c r="M107" s="13"/>
      <c r="N107" s="13"/>
      <c r="O107" s="13"/>
      <c r="P107" s="13"/>
      <c r="Q107" s="13"/>
    </row>
    <row r="108" spans="11:17" x14ac:dyDescent="0.2">
      <c r="K108" s="13"/>
      <c r="L108" s="13"/>
      <c r="M108" s="13"/>
      <c r="N108" s="13"/>
      <c r="O108" s="13"/>
      <c r="P108" s="13"/>
      <c r="Q108" s="13"/>
    </row>
    <row r="109" spans="11:17" x14ac:dyDescent="0.2">
      <c r="K109" s="13"/>
      <c r="L109" s="13"/>
      <c r="M109" s="13"/>
      <c r="N109" s="13"/>
      <c r="O109" s="13"/>
      <c r="P109" s="13"/>
      <c r="Q109" s="13"/>
    </row>
    <row r="110" spans="11:17" x14ac:dyDescent="0.2">
      <c r="K110" s="13"/>
      <c r="L110" s="13"/>
      <c r="M110" s="13"/>
      <c r="N110" s="13"/>
      <c r="O110" s="13"/>
      <c r="P110" s="13"/>
      <c r="Q110" s="13"/>
    </row>
    <row r="111" spans="11:17" x14ac:dyDescent="0.2">
      <c r="K111" s="13"/>
      <c r="L111" s="13"/>
      <c r="M111" s="13"/>
      <c r="N111" s="13"/>
      <c r="O111" s="13"/>
      <c r="P111" s="13"/>
      <c r="Q111" s="13"/>
    </row>
    <row r="112" spans="11:17" x14ac:dyDescent="0.2">
      <c r="K112" s="13"/>
      <c r="L112" s="13"/>
      <c r="M112" s="13"/>
      <c r="N112" s="13"/>
      <c r="O112" s="13"/>
      <c r="P112" s="13"/>
      <c r="Q112" s="13"/>
    </row>
    <row r="113" spans="11:17" x14ac:dyDescent="0.2">
      <c r="K113" s="13"/>
      <c r="L113" s="13"/>
      <c r="M113" s="13"/>
      <c r="N113" s="13"/>
      <c r="O113" s="13"/>
      <c r="P113" s="13"/>
      <c r="Q113" s="13"/>
    </row>
    <row r="114" spans="11:17" x14ac:dyDescent="0.2">
      <c r="K114" s="13"/>
      <c r="L114" s="13"/>
      <c r="M114" s="13"/>
      <c r="N114" s="13"/>
      <c r="O114" s="13"/>
      <c r="P114" s="13"/>
      <c r="Q114" s="13"/>
    </row>
    <row r="115" spans="11:17" x14ac:dyDescent="0.2">
      <c r="K115" s="13"/>
      <c r="L115" s="13"/>
      <c r="M115" s="13"/>
      <c r="N115" s="13"/>
      <c r="O115" s="13"/>
      <c r="P115" s="13"/>
      <c r="Q115" s="13"/>
    </row>
    <row r="116" spans="11:17" x14ac:dyDescent="0.2">
      <c r="K116" s="13"/>
      <c r="L116" s="13"/>
      <c r="M116" s="13"/>
      <c r="N116" s="13"/>
      <c r="O116" s="13"/>
      <c r="P116" s="13"/>
      <c r="Q116" s="13"/>
    </row>
    <row r="117" spans="11:17" x14ac:dyDescent="0.2">
      <c r="K117" s="13"/>
      <c r="L117" s="13"/>
      <c r="M117" s="13"/>
      <c r="N117" s="13"/>
      <c r="O117" s="13"/>
      <c r="P117" s="13"/>
      <c r="Q117" s="13"/>
    </row>
    <row r="118" spans="11:17" x14ac:dyDescent="0.2">
      <c r="K118" s="13"/>
      <c r="L118" s="13"/>
      <c r="M118" s="13"/>
      <c r="N118" s="13"/>
      <c r="O118" s="13"/>
      <c r="P118" s="13"/>
      <c r="Q118" s="13"/>
    </row>
    <row r="119" spans="11:17" x14ac:dyDescent="0.2">
      <c r="K119" s="13"/>
      <c r="L119" s="13"/>
      <c r="M119" s="13"/>
      <c r="N119" s="13"/>
      <c r="O119" s="13"/>
      <c r="P119" s="13"/>
      <c r="Q119" s="13"/>
    </row>
    <row r="120" spans="11:17" x14ac:dyDescent="0.2">
      <c r="K120" s="13"/>
      <c r="L120" s="13"/>
      <c r="M120" s="13"/>
      <c r="N120" s="13"/>
      <c r="O120" s="13"/>
      <c r="P120" s="13"/>
      <c r="Q120" s="13"/>
    </row>
    <row r="121" spans="11:17" x14ac:dyDescent="0.2">
      <c r="K121" s="13"/>
      <c r="L121" s="13"/>
      <c r="M121" s="13"/>
      <c r="N121" s="13"/>
      <c r="O121" s="13"/>
      <c r="P121" s="13"/>
      <c r="Q121" s="13"/>
    </row>
    <row r="122" spans="11:17" x14ac:dyDescent="0.2">
      <c r="K122" s="13"/>
      <c r="L122" s="13"/>
      <c r="M122" s="13"/>
      <c r="N122" s="13"/>
      <c r="O122" s="13"/>
      <c r="P122" s="13"/>
      <c r="Q122" s="13"/>
    </row>
    <row r="123" spans="11:17" x14ac:dyDescent="0.2">
      <c r="K123" s="13"/>
      <c r="L123" s="13"/>
      <c r="M123" s="13"/>
      <c r="N123" s="13"/>
      <c r="O123" s="13"/>
      <c r="P123" s="13"/>
      <c r="Q123" s="13"/>
    </row>
    <row r="124" spans="11:17" x14ac:dyDescent="0.2">
      <c r="K124" s="13"/>
      <c r="L124" s="13"/>
      <c r="M124" s="13"/>
      <c r="N124" s="13"/>
      <c r="O124" s="13"/>
      <c r="P124" s="13"/>
      <c r="Q124" s="13"/>
    </row>
    <row r="125" spans="11:17" x14ac:dyDescent="0.2">
      <c r="K125" s="13"/>
      <c r="L125" s="13"/>
      <c r="M125" s="13"/>
      <c r="N125" s="13"/>
      <c r="O125" s="13"/>
      <c r="P125" s="13"/>
      <c r="Q125" s="13"/>
    </row>
    <row r="126" spans="11:17" x14ac:dyDescent="0.2">
      <c r="K126" s="13"/>
      <c r="L126" s="13"/>
      <c r="M126" s="13"/>
      <c r="N126" s="13"/>
      <c r="O126" s="13"/>
      <c r="P126" s="13"/>
      <c r="Q126" s="13"/>
    </row>
    <row r="127" spans="11:17" x14ac:dyDescent="0.2">
      <c r="K127" s="13"/>
      <c r="L127" s="13"/>
      <c r="M127" s="13"/>
      <c r="N127" s="13"/>
      <c r="O127" s="13"/>
      <c r="P127" s="13"/>
      <c r="Q127" s="13"/>
    </row>
    <row r="128" spans="11:17" x14ac:dyDescent="0.2">
      <c r="K128" s="13"/>
      <c r="L128" s="13"/>
      <c r="M128" s="13"/>
      <c r="N128" s="13"/>
      <c r="O128" s="13"/>
      <c r="P128" s="13"/>
      <c r="Q128" s="13"/>
    </row>
    <row r="129" spans="11:17" x14ac:dyDescent="0.2">
      <c r="K129" s="13"/>
      <c r="L129" s="13"/>
      <c r="M129" s="13"/>
      <c r="N129" s="13"/>
      <c r="O129" s="13"/>
      <c r="P129" s="13"/>
      <c r="Q129" s="13"/>
    </row>
  </sheetData>
  <phoneticPr fontId="2" type="noConversion"/>
  <hyperlinks>
    <hyperlink ref="B24" r:id="rId1"/>
    <hyperlink ref="B25" r:id="rId2"/>
    <hyperlink ref="B27" r:id="rId3"/>
    <hyperlink ref="B28" r:id="rId4"/>
    <hyperlink ref="B29" r:id="rId5"/>
    <hyperlink ref="B30" r:id="rId6"/>
    <hyperlink ref="B26" r:id="rId7"/>
  </hyperlinks>
  <pageMargins left="0.75" right="0.75" top="1" bottom="1" header="0.5" footer="0.5"/>
  <pageSetup orientation="portrait" horizontalDpi="4294967294" verticalDpi="4294967294" r:id="rId8"/>
  <headerFooter alignWithMargins="0"/>
  <drawing r:id="rId9"/>
  <legacyDrawing r:id="rId10"/>
  <controls>
    <mc:AlternateContent xmlns:mc="http://schemas.openxmlformats.org/markup-compatibility/2006">
      <mc:Choice Requires="x14">
        <control shapeId="2052" r:id="rId11" name="CommandButton4">
          <controlPr defaultSize="0" autoLine="0" r:id="rId12">
            <anchor moveWithCells="1">
              <from>
                <xdr:col>2</xdr:col>
                <xdr:colOff>9525</xdr:colOff>
                <xdr:row>16</xdr:row>
                <xdr:rowOff>114300</xdr:rowOff>
              </from>
              <to>
                <xdr:col>4</xdr:col>
                <xdr:colOff>314325</xdr:colOff>
                <xdr:row>19</xdr:row>
                <xdr:rowOff>38100</xdr:rowOff>
              </to>
            </anchor>
          </controlPr>
        </control>
      </mc:Choice>
      <mc:Fallback>
        <control shapeId="2052" r:id="rId11" name="CommandButton4"/>
      </mc:Fallback>
    </mc:AlternateContent>
    <mc:AlternateContent xmlns:mc="http://schemas.openxmlformats.org/markup-compatibility/2006">
      <mc:Choice Requires="x14">
        <control shapeId="2050" r:id="rId13" name="CommandButton2">
          <controlPr defaultSize="0" autoLine="0" r:id="rId14">
            <anchor moveWithCells="1">
              <from>
                <xdr:col>1</xdr:col>
                <xdr:colOff>1724025</xdr:colOff>
                <xdr:row>4</xdr:row>
                <xdr:rowOff>142875</xdr:rowOff>
              </from>
              <to>
                <xdr:col>4</xdr:col>
                <xdr:colOff>276225</xdr:colOff>
                <xdr:row>7</xdr:row>
                <xdr:rowOff>76200</xdr:rowOff>
              </to>
            </anchor>
          </controlPr>
        </control>
      </mc:Choice>
      <mc:Fallback>
        <control shapeId="2050" r:id="rId13" name="CommandButton2"/>
      </mc:Fallback>
    </mc:AlternateContent>
    <mc:AlternateContent xmlns:mc="http://schemas.openxmlformats.org/markup-compatibility/2006">
      <mc:Choice Requires="x14">
        <control shapeId="2049" r:id="rId15" name="CommandButton1">
          <controlPr defaultSize="0" autoLine="0" r:id="rId16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4</xdr:col>
                <xdr:colOff>247650</xdr:colOff>
                <xdr:row>3</xdr:row>
                <xdr:rowOff>123825</xdr:rowOff>
              </to>
            </anchor>
          </controlPr>
        </control>
      </mc:Choice>
      <mc:Fallback>
        <control shapeId="2049" r:id="rId15" name="CommandButton1"/>
      </mc:Fallback>
    </mc:AlternateContent>
    <mc:AlternateContent xmlns:mc="http://schemas.openxmlformats.org/markup-compatibility/2006">
      <mc:Choice Requires="x14">
        <control shapeId="2051" r:id="rId17" name="CommandButton3">
          <controlPr defaultSize="0" autoLine="0" r:id="rId18">
            <anchor moveWithCells="1">
              <from>
                <xdr:col>1</xdr:col>
                <xdr:colOff>1724025</xdr:colOff>
                <xdr:row>23</xdr:row>
                <xdr:rowOff>9525</xdr:rowOff>
              </from>
              <to>
                <xdr:col>4</xdr:col>
                <xdr:colOff>314325</xdr:colOff>
                <xdr:row>25</xdr:row>
                <xdr:rowOff>104775</xdr:rowOff>
              </to>
            </anchor>
          </controlPr>
        </control>
      </mc:Choice>
      <mc:Fallback>
        <control shapeId="2051" r:id="rId17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1004"/>
  <sheetViews>
    <sheetView workbookViewId="0">
      <selection activeCell="B359" sqref="B359"/>
    </sheetView>
  </sheetViews>
  <sheetFormatPr defaultColWidth="9.140625" defaultRowHeight="12.75" x14ac:dyDescent="0.2"/>
  <cols>
    <col min="1" max="1" width="9.140625" style="5"/>
    <col min="2" max="2" width="21.7109375" style="5" bestFit="1" customWidth="1"/>
    <col min="3" max="5" width="9.140625" style="3"/>
    <col min="6" max="6" width="13.7109375" style="3" bestFit="1" customWidth="1"/>
    <col min="7" max="8" width="9.42578125" style="3" bestFit="1" customWidth="1"/>
    <col min="9" max="9" width="12.5703125" style="3" bestFit="1" customWidth="1"/>
    <col min="10" max="10" width="21.7109375" style="5" bestFit="1" customWidth="1"/>
    <col min="11" max="16" width="9.140625" style="3"/>
    <col min="17" max="17" width="9.42578125" style="5" bestFit="1" customWidth="1"/>
    <col min="18" max="18" width="17.28515625" style="5" customWidth="1"/>
    <col min="19" max="19" width="9.140625" style="5"/>
    <col min="20" max="20" width="13.85546875" style="5" customWidth="1"/>
    <col min="21" max="22" width="9.140625" style="5"/>
    <col min="23" max="23" width="6" style="5" customWidth="1"/>
    <col min="24" max="16384" width="9.140625" style="5"/>
  </cols>
  <sheetData>
    <row r="2" spans="2:20" x14ac:dyDescent="0.2">
      <c r="B2" s="1" t="s">
        <v>0</v>
      </c>
      <c r="C2" s="2" t="s">
        <v>8</v>
      </c>
      <c r="E2" s="4"/>
    </row>
    <row r="3" spans="2:20" x14ac:dyDescent="0.2">
      <c r="B3" s="12" t="s">
        <v>1126</v>
      </c>
      <c r="C3" s="3">
        <v>145.94</v>
      </c>
      <c r="F3" s="7"/>
      <c r="G3" s="9"/>
      <c r="H3" s="9"/>
      <c r="I3" s="8"/>
      <c r="J3" s="10"/>
      <c r="R3" s="5">
        <f ca="1">LEN(symbol)</f>
        <v>3</v>
      </c>
    </row>
    <row r="5" spans="2:20" x14ac:dyDescent="0.2">
      <c r="B5" s="1" t="s">
        <v>0</v>
      </c>
      <c r="C5" s="2" t="s">
        <v>1</v>
      </c>
      <c r="D5" s="2" t="s">
        <v>2</v>
      </c>
      <c r="E5" s="2" t="s">
        <v>3</v>
      </c>
      <c r="F5" s="2" t="s">
        <v>4</v>
      </c>
      <c r="G5" s="2" t="s">
        <v>5</v>
      </c>
      <c r="H5" s="2" t="s">
        <v>6</v>
      </c>
      <c r="I5" s="2" t="s">
        <v>7</v>
      </c>
      <c r="J5" s="1" t="s">
        <v>0</v>
      </c>
      <c r="K5" s="2" t="s">
        <v>1</v>
      </c>
      <c r="L5" s="2" t="s">
        <v>2</v>
      </c>
      <c r="M5" s="2" t="s">
        <v>3</v>
      </c>
      <c r="N5" s="2" t="s">
        <v>4</v>
      </c>
      <c r="O5" s="2" t="s">
        <v>5</v>
      </c>
      <c r="P5" s="2" t="s">
        <v>6</v>
      </c>
      <c r="Q5" s="1" t="s">
        <v>28</v>
      </c>
      <c r="R5" s="1" t="s">
        <v>18</v>
      </c>
      <c r="S5" s="1" t="s">
        <v>29</v>
      </c>
    </row>
    <row r="6" spans="2:20" x14ac:dyDescent="0.2">
      <c r="B6" s="5" t="s">
        <v>1127</v>
      </c>
      <c r="C6" s="3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  <c r="I6" s="3">
        <v>110</v>
      </c>
      <c r="J6" s="5" t="s">
        <v>1128</v>
      </c>
      <c r="K6" s="3">
        <v>0.08</v>
      </c>
      <c r="L6" s="3">
        <v>0</v>
      </c>
      <c r="M6" s="3">
        <v>0</v>
      </c>
      <c r="N6" s="3">
        <v>0.04</v>
      </c>
      <c r="O6" s="3">
        <v>0</v>
      </c>
      <c r="P6" s="3">
        <v>1</v>
      </c>
      <c r="Q6" s="10">
        <f ca="1">TODAY()</f>
        <v>42487</v>
      </c>
      <c r="R6" s="10">
        <f ca="1">DATE(MID(B6,$R$3+1,2)+100,MID(B6,$R$3+3,2),MID(B6,$R$3+5,2))</f>
        <v>42496</v>
      </c>
      <c r="S6" s="11">
        <f ca="1">NETWORKDAYS(Q6,R6)/252</f>
        <v>3.1746031746031744E-2</v>
      </c>
      <c r="T6" s="10"/>
    </row>
    <row r="7" spans="2:20" x14ac:dyDescent="0.2">
      <c r="B7" s="5" t="s">
        <v>1129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  <c r="I7" s="3">
        <v>115</v>
      </c>
      <c r="J7" s="5" t="s">
        <v>1130</v>
      </c>
      <c r="K7" s="3">
        <v>0.14000000000000001</v>
      </c>
      <c r="L7" s="3">
        <v>0</v>
      </c>
      <c r="M7" s="3">
        <v>0</v>
      </c>
      <c r="N7" s="3">
        <v>0.06</v>
      </c>
      <c r="O7" s="3">
        <v>0</v>
      </c>
      <c r="P7" s="3">
        <v>2</v>
      </c>
      <c r="Q7" s="10">
        <f t="shared" ref="Q7:Q70" ca="1" si="0">TODAY()</f>
        <v>42487</v>
      </c>
      <c r="R7" s="10">
        <f t="shared" ref="R7:R70" ca="1" si="1">DATE(MID(B7,$R$3+1,2)+100,MID(B7,$R$3+3,2),MID(B7,$R$3+5,2))</f>
        <v>42496</v>
      </c>
      <c r="S7" s="11">
        <f t="shared" ref="S7:S70" ca="1" si="2">NETWORKDAYS(Q7,R7)/252</f>
        <v>3.1746031746031744E-2</v>
      </c>
      <c r="T7" s="10"/>
    </row>
    <row r="8" spans="2:20" x14ac:dyDescent="0.2">
      <c r="B8" s="5" t="s">
        <v>1131</v>
      </c>
      <c r="C8" s="3" t="s">
        <v>9</v>
      </c>
      <c r="D8" s="3" t="s">
        <v>9</v>
      </c>
      <c r="E8" s="3" t="s">
        <v>9</v>
      </c>
      <c r="F8" s="3" t="s">
        <v>9</v>
      </c>
      <c r="G8" s="3" t="s">
        <v>9</v>
      </c>
      <c r="H8" s="3" t="s">
        <v>9</v>
      </c>
      <c r="I8" s="3">
        <v>120</v>
      </c>
      <c r="J8" s="5" t="s">
        <v>1132</v>
      </c>
      <c r="K8" s="3">
        <v>0.24</v>
      </c>
      <c r="L8" s="3">
        <v>0</v>
      </c>
      <c r="M8" s="3">
        <v>0</v>
      </c>
      <c r="N8" s="3">
        <v>7.0000000000000007E-2</v>
      </c>
      <c r="O8" s="3">
        <v>0</v>
      </c>
      <c r="P8" s="3">
        <v>1</v>
      </c>
      <c r="Q8" s="10">
        <f t="shared" ca="1" si="0"/>
        <v>42487</v>
      </c>
      <c r="R8" s="10">
        <f t="shared" ca="1" si="1"/>
        <v>42496</v>
      </c>
      <c r="S8" s="11">
        <f t="shared" ca="1" si="2"/>
        <v>3.1746031746031744E-2</v>
      </c>
      <c r="T8" s="10"/>
    </row>
    <row r="9" spans="2:20" x14ac:dyDescent="0.2">
      <c r="B9" s="5" t="s">
        <v>1133</v>
      </c>
      <c r="C9" s="3" t="s">
        <v>9</v>
      </c>
      <c r="D9" s="3" t="s">
        <v>9</v>
      </c>
      <c r="E9" s="3" t="s">
        <v>9</v>
      </c>
      <c r="F9" s="3" t="s">
        <v>9</v>
      </c>
      <c r="G9" s="3" t="s">
        <v>9</v>
      </c>
      <c r="H9" s="6" t="s">
        <v>9</v>
      </c>
      <c r="I9" s="3">
        <v>125</v>
      </c>
      <c r="J9" s="5" t="s">
        <v>1134</v>
      </c>
      <c r="K9" s="3">
        <v>0.35</v>
      </c>
      <c r="L9" s="3">
        <v>0</v>
      </c>
      <c r="M9" s="3">
        <v>0</v>
      </c>
      <c r="N9" s="3">
        <v>0.08</v>
      </c>
      <c r="O9" s="3">
        <v>0</v>
      </c>
      <c r="P9" s="3">
        <v>1</v>
      </c>
      <c r="Q9" s="10">
        <f t="shared" ca="1" si="0"/>
        <v>42487</v>
      </c>
      <c r="R9" s="10">
        <f t="shared" ca="1" si="1"/>
        <v>42496</v>
      </c>
      <c r="S9" s="11">
        <f t="shared" ca="1" si="2"/>
        <v>3.1746031746031744E-2</v>
      </c>
      <c r="T9" s="10"/>
    </row>
    <row r="10" spans="2:20" x14ac:dyDescent="0.2">
      <c r="B10" s="5" t="s">
        <v>1135</v>
      </c>
      <c r="C10" s="3">
        <v>17.05</v>
      </c>
      <c r="D10" s="3">
        <v>0</v>
      </c>
      <c r="E10" s="3">
        <v>17.100000000000001</v>
      </c>
      <c r="F10" s="3">
        <v>18.600000000000001</v>
      </c>
      <c r="G10" s="3">
        <v>10</v>
      </c>
      <c r="H10" s="3">
        <v>0</v>
      </c>
      <c r="I10" s="3">
        <v>128</v>
      </c>
      <c r="J10" s="5" t="s">
        <v>1136</v>
      </c>
      <c r="K10" s="3" t="s">
        <v>9</v>
      </c>
      <c r="L10" s="3" t="s">
        <v>9</v>
      </c>
      <c r="M10" s="3" t="s">
        <v>9</v>
      </c>
      <c r="N10" s="3" t="s">
        <v>9</v>
      </c>
      <c r="O10" s="3" t="s">
        <v>9</v>
      </c>
      <c r="P10" s="3" t="s">
        <v>9</v>
      </c>
      <c r="Q10" s="10">
        <f t="shared" ca="1" si="0"/>
        <v>42487</v>
      </c>
      <c r="R10" s="10">
        <f t="shared" ca="1" si="1"/>
        <v>42496</v>
      </c>
      <c r="S10" s="11">
        <f t="shared" ca="1" si="2"/>
        <v>3.1746031746031744E-2</v>
      </c>
      <c r="T10" s="10"/>
    </row>
    <row r="11" spans="2:20" x14ac:dyDescent="0.2">
      <c r="B11" s="5" t="s">
        <v>1137</v>
      </c>
      <c r="C11" s="3">
        <v>19.079999999999998</v>
      </c>
      <c r="D11" s="3">
        <v>0</v>
      </c>
      <c r="E11" s="3">
        <v>16.75</v>
      </c>
      <c r="F11" s="3">
        <v>19.45</v>
      </c>
      <c r="G11" s="3">
        <v>1</v>
      </c>
      <c r="H11" s="3">
        <v>23</v>
      </c>
      <c r="I11" s="3">
        <v>130</v>
      </c>
      <c r="J11" s="5" t="s">
        <v>1138</v>
      </c>
      <c r="K11" s="3">
        <v>0.03</v>
      </c>
      <c r="L11" s="3">
        <v>0</v>
      </c>
      <c r="M11" s="3">
        <v>0.02</v>
      </c>
      <c r="N11" s="3">
        <v>0.05</v>
      </c>
      <c r="O11" s="3">
        <v>2</v>
      </c>
      <c r="P11" s="3">
        <v>21</v>
      </c>
      <c r="Q11" s="10">
        <f t="shared" ca="1" si="0"/>
        <v>42487</v>
      </c>
      <c r="R11" s="10">
        <f t="shared" ca="1" si="1"/>
        <v>42496</v>
      </c>
      <c r="S11" s="11">
        <f t="shared" ca="1" si="2"/>
        <v>3.1746031746031744E-2</v>
      </c>
      <c r="T11" s="10"/>
    </row>
    <row r="12" spans="2:20" x14ac:dyDescent="0.2">
      <c r="B12" s="5" t="s">
        <v>1139</v>
      </c>
      <c r="C12" s="3">
        <v>14</v>
      </c>
      <c r="D12" s="3">
        <v>0</v>
      </c>
      <c r="E12" s="3">
        <v>14.75</v>
      </c>
      <c r="F12" s="3">
        <v>17.75</v>
      </c>
      <c r="G12" s="3">
        <v>0</v>
      </c>
      <c r="H12" s="3">
        <v>5</v>
      </c>
      <c r="I12" s="3">
        <v>132</v>
      </c>
      <c r="J12" s="5" t="s">
        <v>1140</v>
      </c>
      <c r="K12" s="3">
        <v>0.32</v>
      </c>
      <c r="L12" s="3">
        <v>0</v>
      </c>
      <c r="M12" s="3">
        <v>0.03</v>
      </c>
      <c r="N12" s="3">
        <v>7.0000000000000007E-2</v>
      </c>
      <c r="O12" s="3">
        <v>0</v>
      </c>
      <c r="P12" s="3">
        <v>41</v>
      </c>
      <c r="Q12" s="10">
        <f t="shared" ca="1" si="0"/>
        <v>42487</v>
      </c>
      <c r="R12" s="10">
        <f t="shared" ca="1" si="1"/>
        <v>42496</v>
      </c>
      <c r="S12" s="11">
        <f t="shared" ca="1" si="2"/>
        <v>3.1746031746031744E-2</v>
      </c>
      <c r="T12" s="10"/>
    </row>
    <row r="13" spans="2:20" x14ac:dyDescent="0.2">
      <c r="B13" s="5" t="s">
        <v>1141</v>
      </c>
      <c r="C13" s="3">
        <v>15.91</v>
      </c>
      <c r="D13" s="3">
        <v>0</v>
      </c>
      <c r="E13" s="3">
        <v>12.7</v>
      </c>
      <c r="F13" s="3">
        <v>13.55</v>
      </c>
      <c r="G13" s="3">
        <v>2</v>
      </c>
      <c r="H13" s="3">
        <v>27</v>
      </c>
      <c r="I13" s="3">
        <v>133</v>
      </c>
      <c r="J13" s="5" t="s">
        <v>1142</v>
      </c>
      <c r="K13" s="3">
        <v>0.3</v>
      </c>
      <c r="L13" s="3">
        <v>0</v>
      </c>
      <c r="M13" s="3">
        <v>0.04</v>
      </c>
      <c r="N13" s="3">
        <v>0.08</v>
      </c>
      <c r="O13" s="3">
        <v>0</v>
      </c>
      <c r="P13" s="3">
        <v>7</v>
      </c>
      <c r="Q13" s="10">
        <f t="shared" ca="1" si="0"/>
        <v>42487</v>
      </c>
      <c r="R13" s="10">
        <f t="shared" ca="1" si="1"/>
        <v>42496</v>
      </c>
      <c r="S13" s="11">
        <f t="shared" ca="1" si="2"/>
        <v>3.1746031746031744E-2</v>
      </c>
      <c r="T13" s="10"/>
    </row>
    <row r="14" spans="2:20" x14ac:dyDescent="0.2">
      <c r="B14" s="5" t="s">
        <v>1143</v>
      </c>
      <c r="C14" s="3" t="s">
        <v>9</v>
      </c>
      <c r="D14" s="3" t="s">
        <v>9</v>
      </c>
      <c r="E14" s="3" t="s">
        <v>9</v>
      </c>
      <c r="F14" s="3" t="s">
        <v>9</v>
      </c>
      <c r="G14" s="3" t="s">
        <v>9</v>
      </c>
      <c r="H14" s="6" t="s">
        <v>9</v>
      </c>
      <c r="I14" s="3">
        <v>134</v>
      </c>
      <c r="J14" s="5" t="s">
        <v>1144</v>
      </c>
      <c r="K14" s="3">
        <v>0.08</v>
      </c>
      <c r="L14" s="3">
        <v>0.03</v>
      </c>
      <c r="M14" s="3">
        <v>7.0000000000000007E-2</v>
      </c>
      <c r="N14" s="3">
        <v>0.1</v>
      </c>
      <c r="O14" s="3">
        <v>4</v>
      </c>
      <c r="P14" s="3">
        <v>54</v>
      </c>
      <c r="Q14" s="10">
        <f t="shared" ca="1" si="0"/>
        <v>42487</v>
      </c>
      <c r="R14" s="10">
        <f t="shared" ca="1" si="1"/>
        <v>42496</v>
      </c>
      <c r="S14" s="11">
        <f t="shared" ca="1" si="2"/>
        <v>3.1746031746031744E-2</v>
      </c>
      <c r="T14" s="10"/>
    </row>
    <row r="15" spans="2:20" x14ac:dyDescent="0.2">
      <c r="B15" s="5" t="s">
        <v>1145</v>
      </c>
      <c r="C15" s="3" t="s">
        <v>9</v>
      </c>
      <c r="D15" s="3" t="s">
        <v>9</v>
      </c>
      <c r="E15" s="3" t="s">
        <v>9</v>
      </c>
      <c r="F15" s="3" t="s">
        <v>9</v>
      </c>
      <c r="G15" s="3" t="s">
        <v>9</v>
      </c>
      <c r="H15" s="3" t="s">
        <v>9</v>
      </c>
      <c r="I15" s="3">
        <v>135</v>
      </c>
      <c r="J15" s="5" t="s">
        <v>1146</v>
      </c>
      <c r="K15" s="3">
        <v>0.12</v>
      </c>
      <c r="L15" s="3">
        <v>0.06</v>
      </c>
      <c r="M15" s="3">
        <v>0.03</v>
      </c>
      <c r="N15" s="3">
        <v>0.13</v>
      </c>
      <c r="O15" s="3">
        <v>74</v>
      </c>
      <c r="P15" s="3">
        <v>155</v>
      </c>
      <c r="Q15" s="10">
        <f t="shared" ca="1" si="0"/>
        <v>42487</v>
      </c>
      <c r="R15" s="10">
        <f t="shared" ca="1" si="1"/>
        <v>42496</v>
      </c>
      <c r="S15" s="11">
        <f t="shared" ca="1" si="2"/>
        <v>3.1746031746031744E-2</v>
      </c>
      <c r="T15" s="10"/>
    </row>
    <row r="16" spans="2:20" x14ac:dyDescent="0.2">
      <c r="B16" s="5" t="s">
        <v>1147</v>
      </c>
      <c r="C16" s="3">
        <v>13.32</v>
      </c>
      <c r="D16" s="3">
        <v>0</v>
      </c>
      <c r="E16" s="3">
        <v>10.85</v>
      </c>
      <c r="F16" s="3">
        <v>12.95</v>
      </c>
      <c r="G16" s="3">
        <v>5</v>
      </c>
      <c r="H16" s="3">
        <v>5</v>
      </c>
      <c r="I16" s="3">
        <v>136</v>
      </c>
      <c r="J16" s="5" t="s">
        <v>1148</v>
      </c>
      <c r="K16" s="3">
        <v>0.16</v>
      </c>
      <c r="L16" s="3">
        <v>0.03</v>
      </c>
      <c r="M16" s="3">
        <v>0.12</v>
      </c>
      <c r="N16" s="3">
        <v>0.16</v>
      </c>
      <c r="O16" s="3">
        <v>3</v>
      </c>
      <c r="P16" s="3">
        <v>56</v>
      </c>
      <c r="Q16" s="10">
        <f t="shared" ca="1" si="0"/>
        <v>42487</v>
      </c>
      <c r="R16" s="10">
        <f t="shared" ca="1" si="1"/>
        <v>42496</v>
      </c>
      <c r="S16" s="11">
        <f t="shared" ca="1" si="2"/>
        <v>3.1746031746031744E-2</v>
      </c>
      <c r="T16" s="10"/>
    </row>
    <row r="17" spans="2:20" x14ac:dyDescent="0.2">
      <c r="B17" s="5" t="s">
        <v>1149</v>
      </c>
      <c r="C17" s="3">
        <v>15.78</v>
      </c>
      <c r="D17" s="3">
        <v>0</v>
      </c>
      <c r="E17" s="3">
        <v>9.8000000000000007</v>
      </c>
      <c r="F17" s="3">
        <v>12.25</v>
      </c>
      <c r="G17" s="3">
        <v>0</v>
      </c>
      <c r="H17" s="3">
        <v>2</v>
      </c>
      <c r="I17" s="3">
        <v>137</v>
      </c>
      <c r="J17" s="5" t="s">
        <v>1150</v>
      </c>
      <c r="K17" s="3">
        <v>0.27</v>
      </c>
      <c r="L17" s="3">
        <v>0.16</v>
      </c>
      <c r="M17" s="3">
        <v>0.14000000000000001</v>
      </c>
      <c r="N17" s="3">
        <v>0.2</v>
      </c>
      <c r="O17" s="3">
        <v>15</v>
      </c>
      <c r="P17" s="3">
        <v>74</v>
      </c>
      <c r="Q17" s="10">
        <f t="shared" ca="1" si="0"/>
        <v>42487</v>
      </c>
      <c r="R17" s="10">
        <f t="shared" ca="1" si="1"/>
        <v>42496</v>
      </c>
      <c r="S17" s="11">
        <f t="shared" ca="1" si="2"/>
        <v>3.1746031746031744E-2</v>
      </c>
      <c r="T17" s="10"/>
    </row>
    <row r="18" spans="2:20" x14ac:dyDescent="0.2">
      <c r="B18" s="5" t="s">
        <v>1151</v>
      </c>
      <c r="C18" s="3">
        <v>10.07</v>
      </c>
      <c r="D18" s="3">
        <v>0</v>
      </c>
      <c r="E18" s="3">
        <v>8.8000000000000007</v>
      </c>
      <c r="F18" s="3">
        <v>10.95</v>
      </c>
      <c r="G18" s="3">
        <v>1</v>
      </c>
      <c r="H18" s="3">
        <v>0</v>
      </c>
      <c r="I18" s="3">
        <v>138</v>
      </c>
      <c r="J18" s="5" t="s">
        <v>1152</v>
      </c>
      <c r="K18" s="3">
        <v>0.22</v>
      </c>
      <c r="L18" s="3">
        <v>0</v>
      </c>
      <c r="M18" s="3">
        <v>0.21</v>
      </c>
      <c r="N18" s="3">
        <v>0.25</v>
      </c>
      <c r="O18" s="3">
        <v>104</v>
      </c>
      <c r="P18" s="3">
        <v>179</v>
      </c>
      <c r="Q18" s="10">
        <f t="shared" ca="1" si="0"/>
        <v>42487</v>
      </c>
      <c r="R18" s="10">
        <f t="shared" ca="1" si="1"/>
        <v>42496</v>
      </c>
      <c r="S18" s="11">
        <f t="shared" ca="1" si="2"/>
        <v>3.1746031746031744E-2</v>
      </c>
      <c r="T18" s="10"/>
    </row>
    <row r="19" spans="2:20" x14ac:dyDescent="0.2">
      <c r="B19" s="5" t="s">
        <v>1153</v>
      </c>
      <c r="C19" s="3" t="s">
        <v>9</v>
      </c>
      <c r="D19" s="3" t="s">
        <v>9</v>
      </c>
      <c r="E19" s="3" t="s">
        <v>9</v>
      </c>
      <c r="F19" s="3" t="s">
        <v>9</v>
      </c>
      <c r="G19" s="3" t="s">
        <v>9</v>
      </c>
      <c r="H19" s="6" t="s">
        <v>9</v>
      </c>
      <c r="I19" s="3">
        <v>139</v>
      </c>
      <c r="J19" s="5" t="s">
        <v>1154</v>
      </c>
      <c r="K19" s="3">
        <v>0.32</v>
      </c>
      <c r="L19" s="3">
        <v>7.0000000000000007E-2</v>
      </c>
      <c r="M19" s="3">
        <v>0.25</v>
      </c>
      <c r="N19" s="3">
        <v>0.32</v>
      </c>
      <c r="O19" s="3">
        <v>16</v>
      </c>
      <c r="P19" s="3">
        <v>184</v>
      </c>
      <c r="Q19" s="10">
        <f t="shared" ca="1" si="0"/>
        <v>42487</v>
      </c>
      <c r="R19" s="10">
        <f t="shared" ca="1" si="1"/>
        <v>42496</v>
      </c>
      <c r="S19" s="11">
        <f t="shared" ca="1" si="2"/>
        <v>3.1746031746031744E-2</v>
      </c>
      <c r="T19" s="10"/>
    </row>
    <row r="20" spans="2:20" x14ac:dyDescent="0.2">
      <c r="B20" s="5" t="s">
        <v>1155</v>
      </c>
      <c r="C20" s="3">
        <v>6.6</v>
      </c>
      <c r="D20" s="3">
        <v>0</v>
      </c>
      <c r="E20" s="3">
        <v>7.2</v>
      </c>
      <c r="F20" s="3">
        <v>9.5</v>
      </c>
      <c r="G20" s="3">
        <v>0</v>
      </c>
      <c r="H20" s="3">
        <v>40</v>
      </c>
      <c r="I20" s="3">
        <v>140</v>
      </c>
      <c r="J20" s="5" t="s">
        <v>1156</v>
      </c>
      <c r="K20" s="3">
        <v>0.43</v>
      </c>
      <c r="L20" s="3">
        <v>0.08</v>
      </c>
      <c r="M20" s="3">
        <v>0.37</v>
      </c>
      <c r="N20" s="3">
        <v>0.43</v>
      </c>
      <c r="O20" s="3">
        <v>103</v>
      </c>
      <c r="P20" s="3">
        <v>188</v>
      </c>
      <c r="Q20" s="10">
        <f t="shared" ca="1" si="0"/>
        <v>42487</v>
      </c>
      <c r="R20" s="10">
        <f t="shared" ca="1" si="1"/>
        <v>42496</v>
      </c>
      <c r="S20" s="11">
        <f t="shared" ca="1" si="2"/>
        <v>3.1746031746031744E-2</v>
      </c>
      <c r="T20" s="10"/>
    </row>
    <row r="21" spans="2:20" x14ac:dyDescent="0.2">
      <c r="B21" s="5" t="s">
        <v>1157</v>
      </c>
      <c r="C21" s="3">
        <v>8.2799999999999994</v>
      </c>
      <c r="D21" s="3">
        <v>0</v>
      </c>
      <c r="E21" s="3">
        <v>5.05</v>
      </c>
      <c r="F21" s="3">
        <v>5.4</v>
      </c>
      <c r="G21" s="3">
        <v>5</v>
      </c>
      <c r="H21" s="3">
        <v>5</v>
      </c>
      <c r="I21" s="3">
        <v>141</v>
      </c>
      <c r="J21" s="5" t="s">
        <v>1158</v>
      </c>
      <c r="K21" s="3">
        <v>0.53</v>
      </c>
      <c r="L21" s="3">
        <v>0.1</v>
      </c>
      <c r="M21" s="3">
        <v>0.51</v>
      </c>
      <c r="N21" s="3">
        <v>0.56999999999999995</v>
      </c>
      <c r="O21" s="3">
        <v>111</v>
      </c>
      <c r="P21" s="3">
        <v>229</v>
      </c>
      <c r="Q21" s="10">
        <f t="shared" ca="1" si="0"/>
        <v>42487</v>
      </c>
      <c r="R21" s="10">
        <f t="shared" ca="1" si="1"/>
        <v>42496</v>
      </c>
      <c r="S21" s="11">
        <f t="shared" ca="1" si="2"/>
        <v>3.1746031746031744E-2</v>
      </c>
      <c r="T21" s="10"/>
    </row>
    <row r="22" spans="2:20" x14ac:dyDescent="0.2">
      <c r="B22" s="5" t="s">
        <v>1159</v>
      </c>
      <c r="C22" s="3">
        <v>4.4000000000000004</v>
      </c>
      <c r="D22" s="3">
        <v>1.04</v>
      </c>
      <c r="E22" s="3">
        <v>4.1500000000000004</v>
      </c>
      <c r="F22" s="3">
        <v>4.45</v>
      </c>
      <c r="G22" s="3">
        <v>24</v>
      </c>
      <c r="H22" s="3">
        <v>46</v>
      </c>
      <c r="I22" s="3">
        <v>142</v>
      </c>
      <c r="J22" s="5" t="s">
        <v>1160</v>
      </c>
      <c r="K22" s="3">
        <v>0.79</v>
      </c>
      <c r="L22" s="3">
        <v>0.35</v>
      </c>
      <c r="M22" s="3">
        <v>0.69</v>
      </c>
      <c r="N22" s="3">
        <v>0.77</v>
      </c>
      <c r="O22" s="3">
        <v>87</v>
      </c>
      <c r="P22" s="3">
        <v>217</v>
      </c>
      <c r="Q22" s="10">
        <f t="shared" ca="1" si="0"/>
        <v>42487</v>
      </c>
      <c r="R22" s="10">
        <f t="shared" ca="1" si="1"/>
        <v>42496</v>
      </c>
      <c r="S22" s="11">
        <f t="shared" ca="1" si="2"/>
        <v>3.1746031746031744E-2</v>
      </c>
      <c r="T22" s="10"/>
    </row>
    <row r="23" spans="2:20" x14ac:dyDescent="0.2">
      <c r="B23" s="5" t="s">
        <v>1161</v>
      </c>
      <c r="C23" s="3">
        <v>3.2</v>
      </c>
      <c r="D23" s="3">
        <v>-3.67</v>
      </c>
      <c r="E23" s="3">
        <v>3.35</v>
      </c>
      <c r="F23" s="3">
        <v>3.6</v>
      </c>
      <c r="G23" s="3">
        <v>61</v>
      </c>
      <c r="H23" s="6">
        <v>59</v>
      </c>
      <c r="I23" s="3">
        <v>143</v>
      </c>
      <c r="J23" s="5" t="s">
        <v>1162</v>
      </c>
      <c r="K23" s="3">
        <v>0.98</v>
      </c>
      <c r="L23" s="3">
        <v>0.19</v>
      </c>
      <c r="M23" s="3">
        <v>0.94</v>
      </c>
      <c r="N23" s="3">
        <v>1.03</v>
      </c>
      <c r="O23" s="3">
        <v>2180</v>
      </c>
      <c r="P23" s="3">
        <v>237</v>
      </c>
      <c r="Q23" s="10">
        <f t="shared" ca="1" si="0"/>
        <v>42487</v>
      </c>
      <c r="R23" s="10">
        <f t="shared" ca="1" si="1"/>
        <v>42496</v>
      </c>
      <c r="S23" s="11">
        <f t="shared" ca="1" si="2"/>
        <v>3.1746031746031744E-2</v>
      </c>
      <c r="T23" s="10"/>
    </row>
    <row r="24" spans="2:20" x14ac:dyDescent="0.2">
      <c r="B24" s="5" t="s">
        <v>1163</v>
      </c>
      <c r="C24" s="3">
        <v>2.6</v>
      </c>
      <c r="D24" s="3">
        <v>-1.62</v>
      </c>
      <c r="E24" s="3">
        <v>2.58</v>
      </c>
      <c r="F24" s="3">
        <v>2.81</v>
      </c>
      <c r="G24" s="3">
        <v>153</v>
      </c>
      <c r="H24" s="6">
        <v>46</v>
      </c>
      <c r="I24" s="3">
        <v>144</v>
      </c>
      <c r="J24" s="5" t="s">
        <v>1164</v>
      </c>
      <c r="K24" s="3">
        <v>1.35</v>
      </c>
      <c r="L24" s="3">
        <v>0.33</v>
      </c>
      <c r="M24" s="3">
        <v>1.28</v>
      </c>
      <c r="N24" s="3">
        <v>1.4</v>
      </c>
      <c r="O24" s="3">
        <v>72</v>
      </c>
      <c r="P24" s="3">
        <v>269</v>
      </c>
      <c r="Q24" s="10">
        <f t="shared" ca="1" si="0"/>
        <v>42487</v>
      </c>
      <c r="R24" s="10">
        <f t="shared" ca="1" si="1"/>
        <v>42496</v>
      </c>
      <c r="S24" s="11">
        <f t="shared" ca="1" si="2"/>
        <v>3.1746031746031744E-2</v>
      </c>
      <c r="T24" s="10"/>
    </row>
    <row r="25" spans="2:20" x14ac:dyDescent="0.2">
      <c r="B25" s="5" t="s">
        <v>1165</v>
      </c>
      <c r="C25" s="3">
        <v>1.85</v>
      </c>
      <c r="D25" s="3">
        <v>-1.1000000000000001</v>
      </c>
      <c r="E25" s="3">
        <v>1.92</v>
      </c>
      <c r="F25" s="3">
        <v>2.1</v>
      </c>
      <c r="G25" s="3">
        <v>159</v>
      </c>
      <c r="H25" s="3">
        <v>152</v>
      </c>
      <c r="I25" s="3">
        <v>145</v>
      </c>
      <c r="J25" s="5" t="s">
        <v>1166</v>
      </c>
      <c r="K25" s="3">
        <v>1.84</v>
      </c>
      <c r="L25" s="3">
        <v>0.34</v>
      </c>
      <c r="M25" s="3">
        <v>1.65</v>
      </c>
      <c r="N25" s="3">
        <v>1.86</v>
      </c>
      <c r="O25" s="3">
        <v>1235</v>
      </c>
      <c r="P25" s="3">
        <v>1348</v>
      </c>
      <c r="Q25" s="10">
        <f t="shared" ca="1" si="0"/>
        <v>42487</v>
      </c>
      <c r="R25" s="10">
        <f t="shared" ca="1" si="1"/>
        <v>42496</v>
      </c>
      <c r="S25" s="11">
        <f t="shared" ca="1" si="2"/>
        <v>3.1746031746031744E-2</v>
      </c>
      <c r="T25" s="10"/>
    </row>
    <row r="26" spans="2:20" x14ac:dyDescent="0.2">
      <c r="B26" s="5" t="s">
        <v>1167</v>
      </c>
      <c r="C26" s="3">
        <v>1.45</v>
      </c>
      <c r="D26" s="3">
        <v>-0.83</v>
      </c>
      <c r="E26" s="3">
        <v>1.37</v>
      </c>
      <c r="F26" s="3">
        <v>1.49</v>
      </c>
      <c r="G26" s="3">
        <v>304</v>
      </c>
      <c r="H26" s="3">
        <v>172</v>
      </c>
      <c r="I26" s="3">
        <v>146</v>
      </c>
      <c r="J26" s="5" t="s">
        <v>1168</v>
      </c>
      <c r="K26" s="3">
        <v>2.2999999999999998</v>
      </c>
      <c r="L26" s="3">
        <v>0.44</v>
      </c>
      <c r="M26" s="3">
        <v>2.27</v>
      </c>
      <c r="N26" s="3">
        <v>2.4700000000000002</v>
      </c>
      <c r="O26" s="3">
        <v>90</v>
      </c>
      <c r="P26" s="3">
        <v>199</v>
      </c>
      <c r="Q26" s="10">
        <f t="shared" ca="1" si="0"/>
        <v>42487</v>
      </c>
      <c r="R26" s="10">
        <f t="shared" ca="1" si="1"/>
        <v>42496</v>
      </c>
      <c r="S26" s="11">
        <f t="shared" ca="1" si="2"/>
        <v>3.1746031746031744E-2</v>
      </c>
      <c r="T26" s="10"/>
    </row>
    <row r="27" spans="2:20" x14ac:dyDescent="0.2">
      <c r="B27" s="5" t="s">
        <v>1169</v>
      </c>
      <c r="C27" s="3">
        <v>1.07</v>
      </c>
      <c r="D27" s="3">
        <v>-0.37</v>
      </c>
      <c r="E27" s="3">
        <v>0.92</v>
      </c>
      <c r="F27" s="3">
        <v>1.03</v>
      </c>
      <c r="G27" s="3">
        <v>438</v>
      </c>
      <c r="H27" s="3">
        <v>320</v>
      </c>
      <c r="I27" s="3">
        <v>147</v>
      </c>
      <c r="J27" s="5" t="s">
        <v>1170</v>
      </c>
      <c r="K27" s="3">
        <v>3.1</v>
      </c>
      <c r="L27" s="3">
        <v>0.67</v>
      </c>
      <c r="M27" s="3">
        <v>2.89</v>
      </c>
      <c r="N27" s="3">
        <v>3.15</v>
      </c>
      <c r="O27" s="3">
        <v>59</v>
      </c>
      <c r="P27" s="3">
        <v>344</v>
      </c>
      <c r="Q27" s="10">
        <f t="shared" ca="1" si="0"/>
        <v>42487</v>
      </c>
      <c r="R27" s="10">
        <f t="shared" ca="1" si="1"/>
        <v>42496</v>
      </c>
      <c r="S27" s="11">
        <f t="shared" ca="1" si="2"/>
        <v>3.1746031746031744E-2</v>
      </c>
      <c r="T27" s="10"/>
    </row>
    <row r="28" spans="2:20" x14ac:dyDescent="0.2">
      <c r="B28" s="5" t="s">
        <v>1171</v>
      </c>
      <c r="C28" s="3">
        <v>0.62</v>
      </c>
      <c r="D28" s="3">
        <v>-0.41</v>
      </c>
      <c r="E28" s="3">
        <v>0.59</v>
      </c>
      <c r="F28" s="3">
        <v>0.68</v>
      </c>
      <c r="G28" s="3">
        <v>224</v>
      </c>
      <c r="H28" s="3">
        <v>385</v>
      </c>
      <c r="I28" s="3">
        <v>148</v>
      </c>
      <c r="J28" s="5" t="s">
        <v>1172</v>
      </c>
      <c r="K28" s="3">
        <v>3.91</v>
      </c>
      <c r="L28" s="3">
        <v>1.26</v>
      </c>
      <c r="M28" s="3">
        <v>3.5</v>
      </c>
      <c r="N28" s="3">
        <v>3.95</v>
      </c>
      <c r="O28" s="3">
        <v>40</v>
      </c>
      <c r="P28" s="3">
        <v>118</v>
      </c>
      <c r="Q28" s="10">
        <f t="shared" ca="1" si="0"/>
        <v>42487</v>
      </c>
      <c r="R28" s="10">
        <f t="shared" ca="1" si="1"/>
        <v>42496</v>
      </c>
      <c r="S28" s="11">
        <f t="shared" ca="1" si="2"/>
        <v>3.1746031746031744E-2</v>
      </c>
      <c r="T28" s="10"/>
    </row>
    <row r="29" spans="2:20" x14ac:dyDescent="0.2">
      <c r="B29" s="5" t="s">
        <v>1173</v>
      </c>
      <c r="C29" s="3">
        <v>0.44</v>
      </c>
      <c r="D29" s="3">
        <v>-0.26</v>
      </c>
      <c r="E29" s="3">
        <v>0.37</v>
      </c>
      <c r="F29" s="3">
        <v>0.44</v>
      </c>
      <c r="G29" s="3">
        <v>245</v>
      </c>
      <c r="H29" s="3">
        <v>289</v>
      </c>
      <c r="I29" s="3">
        <v>149</v>
      </c>
      <c r="J29" s="5" t="s">
        <v>1174</v>
      </c>
      <c r="K29" s="3">
        <v>4.97</v>
      </c>
      <c r="L29" s="3">
        <v>1.02</v>
      </c>
      <c r="M29" s="3">
        <v>4.5</v>
      </c>
      <c r="N29" s="3">
        <v>4.9000000000000004</v>
      </c>
      <c r="O29" s="3">
        <v>18</v>
      </c>
      <c r="P29" s="3">
        <v>124</v>
      </c>
      <c r="Q29" s="10">
        <f t="shared" ca="1" si="0"/>
        <v>42487</v>
      </c>
      <c r="R29" s="10">
        <f t="shared" ca="1" si="1"/>
        <v>42496</v>
      </c>
      <c r="S29" s="11">
        <f t="shared" ca="1" si="2"/>
        <v>3.1746031746031744E-2</v>
      </c>
      <c r="T29" s="10"/>
    </row>
    <row r="30" spans="2:20" x14ac:dyDescent="0.2">
      <c r="B30" s="5" t="s">
        <v>1175</v>
      </c>
      <c r="C30" s="3">
        <v>0.25</v>
      </c>
      <c r="D30" s="3">
        <v>-0.21</v>
      </c>
      <c r="E30" s="3">
        <v>0.22</v>
      </c>
      <c r="F30" s="3">
        <v>0.27</v>
      </c>
      <c r="G30" s="3">
        <v>553</v>
      </c>
      <c r="H30" s="3">
        <v>1463</v>
      </c>
      <c r="I30" s="3">
        <v>150</v>
      </c>
      <c r="J30" s="5" t="s">
        <v>1176</v>
      </c>
      <c r="K30" s="3">
        <v>6</v>
      </c>
      <c r="L30" s="3">
        <v>1.96</v>
      </c>
      <c r="M30" s="3">
        <v>5.15</v>
      </c>
      <c r="N30" s="3">
        <v>5.8</v>
      </c>
      <c r="O30" s="3">
        <v>33</v>
      </c>
      <c r="P30" s="3">
        <v>240</v>
      </c>
      <c r="Q30" s="10">
        <f t="shared" ca="1" si="0"/>
        <v>42487</v>
      </c>
      <c r="R30" s="10">
        <f t="shared" ca="1" si="1"/>
        <v>42496</v>
      </c>
      <c r="S30" s="11">
        <f t="shared" ca="1" si="2"/>
        <v>3.1746031746031744E-2</v>
      </c>
      <c r="T30" s="10"/>
    </row>
    <row r="31" spans="2:20" x14ac:dyDescent="0.2">
      <c r="B31" s="5" t="s">
        <v>1177</v>
      </c>
      <c r="C31" s="3">
        <v>0.06</v>
      </c>
      <c r="D31" s="3">
        <v>-0.11</v>
      </c>
      <c r="E31" s="3">
        <v>0.06</v>
      </c>
      <c r="F31" s="3">
        <v>0.09</v>
      </c>
      <c r="G31" s="3">
        <v>293</v>
      </c>
      <c r="H31" s="3">
        <v>892</v>
      </c>
      <c r="I31" s="3">
        <v>152.5</v>
      </c>
      <c r="J31" s="5" t="s">
        <v>1178</v>
      </c>
      <c r="K31" s="3">
        <v>4.8499999999999996</v>
      </c>
      <c r="L31" s="3">
        <v>0</v>
      </c>
      <c r="M31" s="3">
        <v>7.5</v>
      </c>
      <c r="N31" s="3">
        <v>8.1999999999999993</v>
      </c>
      <c r="O31" s="3">
        <v>1</v>
      </c>
      <c r="P31" s="3">
        <v>309</v>
      </c>
      <c r="Q31" s="10">
        <f t="shared" ca="1" si="0"/>
        <v>42487</v>
      </c>
      <c r="R31" s="10">
        <f t="shared" ca="1" si="1"/>
        <v>42496</v>
      </c>
      <c r="S31" s="11">
        <f t="shared" ca="1" si="2"/>
        <v>3.1746031746031744E-2</v>
      </c>
      <c r="T31" s="10"/>
    </row>
    <row r="32" spans="2:20" x14ac:dyDescent="0.2">
      <c r="B32" s="5" t="s">
        <v>1179</v>
      </c>
      <c r="C32" s="3">
        <v>0.03</v>
      </c>
      <c r="D32" s="3">
        <v>-0.04</v>
      </c>
      <c r="E32" s="3">
        <v>0</v>
      </c>
      <c r="F32" s="3">
        <v>0.05</v>
      </c>
      <c r="G32" s="3">
        <v>66</v>
      </c>
      <c r="H32" s="3">
        <v>811</v>
      </c>
      <c r="I32" s="3">
        <v>155</v>
      </c>
      <c r="J32" s="5" t="s">
        <v>1180</v>
      </c>
      <c r="K32" s="3">
        <v>7.15</v>
      </c>
      <c r="L32" s="3">
        <v>0</v>
      </c>
      <c r="M32" s="3">
        <v>9.9499999999999993</v>
      </c>
      <c r="N32" s="3">
        <v>11.75</v>
      </c>
      <c r="O32" s="3">
        <v>1</v>
      </c>
      <c r="P32" s="3">
        <v>14</v>
      </c>
      <c r="Q32" s="10">
        <f t="shared" ca="1" si="0"/>
        <v>42487</v>
      </c>
      <c r="R32" s="10">
        <f t="shared" ca="1" si="1"/>
        <v>42496</v>
      </c>
      <c r="S32" s="11">
        <f t="shared" ca="1" si="2"/>
        <v>3.1746031746031744E-2</v>
      </c>
      <c r="T32" s="10"/>
    </row>
    <row r="33" spans="2:20" x14ac:dyDescent="0.2">
      <c r="B33" s="5" t="s">
        <v>1181</v>
      </c>
      <c r="C33" s="3">
        <v>0.11</v>
      </c>
      <c r="D33" s="3">
        <v>0</v>
      </c>
      <c r="E33" s="3">
        <v>0</v>
      </c>
      <c r="F33" s="3">
        <v>0.05</v>
      </c>
      <c r="G33" s="3">
        <v>40</v>
      </c>
      <c r="H33" s="3">
        <v>165</v>
      </c>
      <c r="I33" s="3">
        <v>157.5</v>
      </c>
      <c r="J33" s="5" t="s">
        <v>1182</v>
      </c>
      <c r="K33" s="3" t="s">
        <v>9</v>
      </c>
      <c r="L33" s="3" t="s">
        <v>9</v>
      </c>
      <c r="M33" s="3" t="s">
        <v>9</v>
      </c>
      <c r="N33" s="3" t="s">
        <v>9</v>
      </c>
      <c r="O33" s="3" t="s">
        <v>9</v>
      </c>
      <c r="P33" s="3" t="s">
        <v>9</v>
      </c>
      <c r="Q33" s="10">
        <f t="shared" ca="1" si="0"/>
        <v>42487</v>
      </c>
      <c r="R33" s="10">
        <f t="shared" ca="1" si="1"/>
        <v>42496</v>
      </c>
      <c r="S33" s="11">
        <f t="shared" ca="1" si="2"/>
        <v>3.1746031746031744E-2</v>
      </c>
      <c r="T33" s="10"/>
    </row>
    <row r="34" spans="2:20" x14ac:dyDescent="0.2">
      <c r="B34" s="5" t="s">
        <v>1183</v>
      </c>
      <c r="C34" s="3">
        <v>0.05</v>
      </c>
      <c r="D34" s="3">
        <v>0</v>
      </c>
      <c r="E34" s="3">
        <v>0</v>
      </c>
      <c r="F34" s="3">
        <v>0.05</v>
      </c>
      <c r="G34" s="3">
        <v>33</v>
      </c>
      <c r="H34" s="3">
        <v>178</v>
      </c>
      <c r="I34" s="3">
        <v>160</v>
      </c>
      <c r="J34" s="5" t="s">
        <v>1184</v>
      </c>
      <c r="K34" s="3" t="s">
        <v>9</v>
      </c>
      <c r="L34" s="3" t="s">
        <v>9</v>
      </c>
      <c r="M34" s="3" t="s">
        <v>9</v>
      </c>
      <c r="N34" s="3" t="s">
        <v>9</v>
      </c>
      <c r="O34" s="3" t="s">
        <v>9</v>
      </c>
      <c r="P34" s="3" t="s">
        <v>9</v>
      </c>
      <c r="Q34" s="10">
        <f t="shared" ca="1" si="0"/>
        <v>42487</v>
      </c>
      <c r="R34" s="10">
        <f t="shared" ca="1" si="1"/>
        <v>42496</v>
      </c>
      <c r="S34" s="11">
        <f t="shared" ca="1" si="2"/>
        <v>3.1746031746031744E-2</v>
      </c>
      <c r="T34" s="10"/>
    </row>
    <row r="35" spans="2:20" x14ac:dyDescent="0.2">
      <c r="B35" s="5" t="s">
        <v>1185</v>
      </c>
      <c r="C35" s="3">
        <v>0.01</v>
      </c>
      <c r="D35" s="3">
        <v>0</v>
      </c>
      <c r="E35" s="3">
        <v>0</v>
      </c>
      <c r="F35" s="3">
        <v>0.05</v>
      </c>
      <c r="G35" s="3">
        <v>0</v>
      </c>
      <c r="H35" s="3">
        <v>17</v>
      </c>
      <c r="I35" s="3">
        <v>162.5</v>
      </c>
      <c r="J35" s="5" t="s">
        <v>1186</v>
      </c>
      <c r="K35" s="3" t="s">
        <v>9</v>
      </c>
      <c r="L35" s="3" t="s">
        <v>9</v>
      </c>
      <c r="M35" s="3" t="s">
        <v>9</v>
      </c>
      <c r="N35" s="3" t="s">
        <v>9</v>
      </c>
      <c r="O35" s="3" t="s">
        <v>9</v>
      </c>
      <c r="P35" s="3" t="s">
        <v>9</v>
      </c>
      <c r="Q35" s="10">
        <f t="shared" ca="1" si="0"/>
        <v>42487</v>
      </c>
      <c r="R35" s="10">
        <f t="shared" ca="1" si="1"/>
        <v>42496</v>
      </c>
      <c r="S35" s="11">
        <f t="shared" ca="1" si="2"/>
        <v>3.1746031746031744E-2</v>
      </c>
      <c r="T35" s="10"/>
    </row>
    <row r="36" spans="2:20" x14ac:dyDescent="0.2">
      <c r="B36" s="5" t="s">
        <v>1187</v>
      </c>
      <c r="C36" s="3">
        <v>0.05</v>
      </c>
      <c r="D36" s="3">
        <v>0</v>
      </c>
      <c r="E36" s="3">
        <v>0</v>
      </c>
      <c r="F36" s="3">
        <v>0.05</v>
      </c>
      <c r="G36" s="3">
        <v>0</v>
      </c>
      <c r="H36" s="3">
        <v>108</v>
      </c>
      <c r="I36" s="3">
        <v>165</v>
      </c>
      <c r="J36" s="5" t="s">
        <v>1188</v>
      </c>
      <c r="K36" s="3" t="s">
        <v>9</v>
      </c>
      <c r="L36" s="3" t="s">
        <v>9</v>
      </c>
      <c r="M36" s="3" t="s">
        <v>9</v>
      </c>
      <c r="N36" s="3" t="s">
        <v>9</v>
      </c>
      <c r="O36" s="3" t="s">
        <v>9</v>
      </c>
      <c r="P36" s="3" t="s">
        <v>9</v>
      </c>
      <c r="Q36" s="10">
        <f t="shared" ca="1" si="0"/>
        <v>42487</v>
      </c>
      <c r="R36" s="10">
        <f t="shared" ca="1" si="1"/>
        <v>42496</v>
      </c>
      <c r="S36" s="11">
        <f t="shared" ca="1" si="2"/>
        <v>3.1746031746031744E-2</v>
      </c>
      <c r="T36" s="10"/>
    </row>
    <row r="37" spans="2:20" x14ac:dyDescent="0.2">
      <c r="B37" s="5" t="s">
        <v>1189</v>
      </c>
      <c r="C37" s="3">
        <v>0.01</v>
      </c>
      <c r="D37" s="3">
        <v>0</v>
      </c>
      <c r="E37" s="3">
        <v>0</v>
      </c>
      <c r="F37" s="3">
        <v>0.05</v>
      </c>
      <c r="G37" s="3">
        <v>0</v>
      </c>
      <c r="H37" s="3">
        <v>27</v>
      </c>
      <c r="I37" s="3">
        <v>167.5</v>
      </c>
      <c r="J37" s="5" t="s">
        <v>1190</v>
      </c>
      <c r="K37" s="3" t="s">
        <v>9</v>
      </c>
      <c r="L37" s="3" t="s">
        <v>9</v>
      </c>
      <c r="M37" s="3" t="s">
        <v>9</v>
      </c>
      <c r="N37" s="3" t="s">
        <v>9</v>
      </c>
      <c r="O37" s="3" t="s">
        <v>9</v>
      </c>
      <c r="P37" s="3" t="s">
        <v>9</v>
      </c>
      <c r="Q37" s="10">
        <f t="shared" ca="1" si="0"/>
        <v>42487</v>
      </c>
      <c r="R37" s="10">
        <f t="shared" ca="1" si="1"/>
        <v>42496</v>
      </c>
      <c r="S37" s="11">
        <f t="shared" ca="1" si="2"/>
        <v>3.1746031746031744E-2</v>
      </c>
      <c r="T37" s="10"/>
    </row>
    <row r="38" spans="2:20" x14ac:dyDescent="0.2">
      <c r="B38" s="5" t="s">
        <v>1191</v>
      </c>
      <c r="C38" s="3" t="s">
        <v>9</v>
      </c>
      <c r="D38" s="3" t="s">
        <v>9</v>
      </c>
      <c r="E38" s="3" t="s">
        <v>9</v>
      </c>
      <c r="F38" s="3" t="s">
        <v>9</v>
      </c>
      <c r="G38" s="3" t="s">
        <v>9</v>
      </c>
      <c r="H38" s="3" t="s">
        <v>9</v>
      </c>
      <c r="I38" s="3">
        <v>115</v>
      </c>
      <c r="J38" s="5" t="s">
        <v>1192</v>
      </c>
      <c r="K38" s="3">
        <v>0.22</v>
      </c>
      <c r="L38" s="3">
        <v>0</v>
      </c>
      <c r="M38" s="3">
        <v>0</v>
      </c>
      <c r="N38" s="3">
        <v>0.08</v>
      </c>
      <c r="O38" s="3">
        <v>0</v>
      </c>
      <c r="P38" s="3">
        <v>10</v>
      </c>
      <c r="Q38" s="10">
        <f t="shared" ca="1" si="0"/>
        <v>42487</v>
      </c>
      <c r="R38" s="10">
        <f t="shared" ca="1" si="1"/>
        <v>42503</v>
      </c>
      <c r="S38" s="11">
        <f t="shared" ca="1" si="2"/>
        <v>5.1587301587301584E-2</v>
      </c>
      <c r="T38" s="10"/>
    </row>
    <row r="39" spans="2:20" x14ac:dyDescent="0.2">
      <c r="B39" s="5" t="s">
        <v>1193</v>
      </c>
      <c r="C39" s="3">
        <v>24.65</v>
      </c>
      <c r="D39" s="3">
        <v>0</v>
      </c>
      <c r="E39" s="3">
        <v>21.8</v>
      </c>
      <c r="F39" s="3">
        <v>24.55</v>
      </c>
      <c r="G39" s="3">
        <v>0</v>
      </c>
      <c r="H39" s="3">
        <v>10</v>
      </c>
      <c r="I39" s="3">
        <v>125</v>
      </c>
      <c r="J39" s="5" t="s">
        <v>1194</v>
      </c>
      <c r="K39" s="3">
        <v>0.04</v>
      </c>
      <c r="L39" s="3">
        <v>0</v>
      </c>
      <c r="M39" s="3">
        <v>0</v>
      </c>
      <c r="N39" s="3">
        <v>0.1</v>
      </c>
      <c r="O39" s="3">
        <v>1</v>
      </c>
      <c r="P39" s="3">
        <v>5</v>
      </c>
      <c r="Q39" s="10">
        <f t="shared" ca="1" si="0"/>
        <v>42487</v>
      </c>
      <c r="R39" s="10">
        <f t="shared" ca="1" si="1"/>
        <v>42503</v>
      </c>
      <c r="S39" s="11">
        <f t="shared" ca="1" si="2"/>
        <v>5.1587301587301584E-2</v>
      </c>
      <c r="T39" s="10"/>
    </row>
    <row r="40" spans="2:20" x14ac:dyDescent="0.2">
      <c r="B40" s="5" t="s">
        <v>1195</v>
      </c>
      <c r="C40" s="3" t="s">
        <v>9</v>
      </c>
      <c r="D40" s="3" t="s">
        <v>9</v>
      </c>
      <c r="E40" s="3" t="s">
        <v>9</v>
      </c>
      <c r="F40" s="3" t="s">
        <v>9</v>
      </c>
      <c r="G40" s="3" t="s">
        <v>9</v>
      </c>
      <c r="H40" s="3" t="s">
        <v>9</v>
      </c>
      <c r="I40" s="3">
        <v>129</v>
      </c>
      <c r="J40" s="5" t="s">
        <v>1196</v>
      </c>
      <c r="K40" s="3">
        <v>0.09</v>
      </c>
      <c r="L40" s="3">
        <v>0</v>
      </c>
      <c r="M40" s="3">
        <v>0.02</v>
      </c>
      <c r="N40" s="3">
        <v>0.15</v>
      </c>
      <c r="O40" s="3">
        <v>1</v>
      </c>
      <c r="P40" s="3">
        <v>0</v>
      </c>
      <c r="Q40" s="10">
        <f t="shared" ca="1" si="0"/>
        <v>42487</v>
      </c>
      <c r="R40" s="10">
        <f t="shared" ca="1" si="1"/>
        <v>42503</v>
      </c>
      <c r="S40" s="11">
        <f t="shared" ca="1" si="2"/>
        <v>5.1587301587301584E-2</v>
      </c>
      <c r="T40" s="10"/>
    </row>
    <row r="41" spans="2:20" x14ac:dyDescent="0.2">
      <c r="B41" s="5" t="s">
        <v>1197</v>
      </c>
      <c r="C41" s="3" t="s">
        <v>9</v>
      </c>
      <c r="D41" s="3" t="s">
        <v>9</v>
      </c>
      <c r="E41" s="3" t="s">
        <v>9</v>
      </c>
      <c r="F41" s="3" t="s">
        <v>9</v>
      </c>
      <c r="G41" s="3" t="s">
        <v>9</v>
      </c>
      <c r="H41" s="3" t="s">
        <v>9</v>
      </c>
      <c r="I41" s="3">
        <v>130</v>
      </c>
      <c r="J41" s="5" t="s">
        <v>1198</v>
      </c>
      <c r="K41" s="3">
        <v>0.16</v>
      </c>
      <c r="L41" s="3">
        <v>0</v>
      </c>
      <c r="M41" s="3">
        <v>0.03</v>
      </c>
      <c r="N41" s="3">
        <v>0.17</v>
      </c>
      <c r="O41" s="3">
        <v>0</v>
      </c>
      <c r="P41" s="3">
        <v>42</v>
      </c>
      <c r="Q41" s="10">
        <f t="shared" ca="1" si="0"/>
        <v>42487</v>
      </c>
      <c r="R41" s="10">
        <f t="shared" ca="1" si="1"/>
        <v>42503</v>
      </c>
      <c r="S41" s="11">
        <f t="shared" ca="1" si="2"/>
        <v>5.1587301587301584E-2</v>
      </c>
      <c r="T41" s="10"/>
    </row>
    <row r="42" spans="2:20" x14ac:dyDescent="0.2">
      <c r="B42" s="5" t="s">
        <v>1199</v>
      </c>
      <c r="C42" s="3">
        <v>9.6199999999999992</v>
      </c>
      <c r="D42" s="3">
        <v>0</v>
      </c>
      <c r="E42" s="3">
        <v>12.8</v>
      </c>
      <c r="F42" s="3">
        <v>14.85</v>
      </c>
      <c r="G42" s="3">
        <v>20</v>
      </c>
      <c r="H42" s="3">
        <v>20</v>
      </c>
      <c r="I42" s="3">
        <v>134</v>
      </c>
      <c r="J42" s="5" t="s">
        <v>1200</v>
      </c>
      <c r="K42" s="3">
        <v>0.13</v>
      </c>
      <c r="L42" s="3">
        <v>0</v>
      </c>
      <c r="M42" s="3">
        <v>0.16</v>
      </c>
      <c r="N42" s="3">
        <v>0.27</v>
      </c>
      <c r="O42" s="3">
        <v>10</v>
      </c>
      <c r="P42" s="3">
        <v>40</v>
      </c>
      <c r="Q42" s="10">
        <f t="shared" ca="1" si="0"/>
        <v>42487</v>
      </c>
      <c r="R42" s="10">
        <f t="shared" ca="1" si="1"/>
        <v>42503</v>
      </c>
      <c r="S42" s="11">
        <f t="shared" ca="1" si="2"/>
        <v>5.1587301587301584E-2</v>
      </c>
      <c r="T42" s="10"/>
    </row>
    <row r="43" spans="2:20" x14ac:dyDescent="0.2">
      <c r="B43" s="5" t="s">
        <v>1201</v>
      </c>
      <c r="C43" s="3" t="s">
        <v>9</v>
      </c>
      <c r="D43" s="3" t="s">
        <v>9</v>
      </c>
      <c r="E43" s="3" t="s">
        <v>9</v>
      </c>
      <c r="F43" s="3" t="s">
        <v>9</v>
      </c>
      <c r="G43" s="3" t="s">
        <v>9</v>
      </c>
      <c r="H43" s="3" t="s">
        <v>9</v>
      </c>
      <c r="I43" s="3">
        <v>135</v>
      </c>
      <c r="J43" s="5" t="s">
        <v>1202</v>
      </c>
      <c r="K43" s="3">
        <v>0.2</v>
      </c>
      <c r="L43" s="3">
        <v>0</v>
      </c>
      <c r="M43" s="3">
        <v>0.25</v>
      </c>
      <c r="N43" s="3">
        <v>0.32</v>
      </c>
      <c r="O43" s="3">
        <v>15</v>
      </c>
      <c r="P43" s="3">
        <v>25</v>
      </c>
      <c r="Q43" s="10">
        <f t="shared" ca="1" si="0"/>
        <v>42487</v>
      </c>
      <c r="R43" s="10">
        <f t="shared" ca="1" si="1"/>
        <v>42503</v>
      </c>
      <c r="S43" s="11">
        <f t="shared" ca="1" si="2"/>
        <v>5.1587301587301584E-2</v>
      </c>
      <c r="T43" s="10"/>
    </row>
    <row r="44" spans="2:20" x14ac:dyDescent="0.2">
      <c r="B44" s="5" t="s">
        <v>1203</v>
      </c>
      <c r="C44" s="3" t="s">
        <v>9</v>
      </c>
      <c r="D44" s="3" t="s">
        <v>9</v>
      </c>
      <c r="E44" s="3" t="s">
        <v>9</v>
      </c>
      <c r="F44" s="3" t="s">
        <v>9</v>
      </c>
      <c r="G44" s="3" t="s">
        <v>9</v>
      </c>
      <c r="H44" s="3" t="s">
        <v>9</v>
      </c>
      <c r="I44" s="3">
        <v>136</v>
      </c>
      <c r="J44" s="5" t="s">
        <v>1204</v>
      </c>
      <c r="K44" s="3">
        <v>0.22</v>
      </c>
      <c r="L44" s="3">
        <v>0</v>
      </c>
      <c r="M44" s="3">
        <v>0.3</v>
      </c>
      <c r="N44" s="3">
        <v>0.39</v>
      </c>
      <c r="O44" s="3">
        <v>1</v>
      </c>
      <c r="P44" s="3">
        <v>8</v>
      </c>
      <c r="Q44" s="10">
        <f t="shared" ca="1" si="0"/>
        <v>42487</v>
      </c>
      <c r="R44" s="10">
        <f t="shared" ca="1" si="1"/>
        <v>42503</v>
      </c>
      <c r="S44" s="11">
        <f t="shared" ca="1" si="2"/>
        <v>5.1587301587301584E-2</v>
      </c>
      <c r="T44" s="10"/>
    </row>
    <row r="45" spans="2:20" x14ac:dyDescent="0.2">
      <c r="B45" s="5" t="s">
        <v>1205</v>
      </c>
      <c r="C45" s="3" t="s">
        <v>9</v>
      </c>
      <c r="D45" s="3" t="s">
        <v>9</v>
      </c>
      <c r="E45" s="3" t="s">
        <v>9</v>
      </c>
      <c r="F45" s="3" t="s">
        <v>9</v>
      </c>
      <c r="G45" s="3" t="s">
        <v>9</v>
      </c>
      <c r="H45" s="3" t="s">
        <v>9</v>
      </c>
      <c r="I45" s="3">
        <v>137</v>
      </c>
      <c r="J45" s="5" t="s">
        <v>1206</v>
      </c>
      <c r="K45" s="3">
        <v>0.57999999999999996</v>
      </c>
      <c r="L45" s="3">
        <v>0.16</v>
      </c>
      <c r="M45" s="3">
        <v>0.37</v>
      </c>
      <c r="N45" s="3">
        <v>0.48</v>
      </c>
      <c r="O45" s="3">
        <v>3</v>
      </c>
      <c r="P45" s="3">
        <v>11</v>
      </c>
      <c r="Q45" s="10">
        <f t="shared" ca="1" si="0"/>
        <v>42487</v>
      </c>
      <c r="R45" s="10">
        <f t="shared" ca="1" si="1"/>
        <v>42503</v>
      </c>
      <c r="S45" s="11">
        <f t="shared" ca="1" si="2"/>
        <v>5.1587301587301584E-2</v>
      </c>
      <c r="T45" s="10"/>
    </row>
    <row r="46" spans="2:20" x14ac:dyDescent="0.2">
      <c r="B46" s="5" t="s">
        <v>1207</v>
      </c>
      <c r="C46" s="3">
        <v>5.78</v>
      </c>
      <c r="D46" s="3">
        <v>0</v>
      </c>
      <c r="E46" s="3">
        <v>9.4</v>
      </c>
      <c r="F46" s="3">
        <v>11.45</v>
      </c>
      <c r="G46" s="3">
        <v>0</v>
      </c>
      <c r="H46" s="3">
        <v>60</v>
      </c>
      <c r="I46" s="3">
        <v>138</v>
      </c>
      <c r="J46" s="5" t="s">
        <v>1208</v>
      </c>
      <c r="K46" s="3">
        <v>0.42</v>
      </c>
      <c r="L46" s="3">
        <v>0.04</v>
      </c>
      <c r="M46" s="3">
        <v>0.48</v>
      </c>
      <c r="N46" s="3">
        <v>0.57999999999999996</v>
      </c>
      <c r="O46" s="3">
        <v>1</v>
      </c>
      <c r="P46" s="3">
        <v>27</v>
      </c>
      <c r="Q46" s="10">
        <f t="shared" ca="1" si="0"/>
        <v>42487</v>
      </c>
      <c r="R46" s="10">
        <f t="shared" ca="1" si="1"/>
        <v>42503</v>
      </c>
      <c r="S46" s="11">
        <f t="shared" ca="1" si="2"/>
        <v>5.1587301587301584E-2</v>
      </c>
      <c r="T46" s="10"/>
    </row>
    <row r="47" spans="2:20" x14ac:dyDescent="0.2">
      <c r="B47" s="5" t="s">
        <v>1209</v>
      </c>
      <c r="C47" s="3" t="s">
        <v>9</v>
      </c>
      <c r="D47" s="3" t="s">
        <v>9</v>
      </c>
      <c r="E47" s="3" t="s">
        <v>9</v>
      </c>
      <c r="F47" s="3" t="s">
        <v>9</v>
      </c>
      <c r="G47" s="3" t="s">
        <v>9</v>
      </c>
      <c r="H47" s="3" t="s">
        <v>9</v>
      </c>
      <c r="I47" s="3">
        <v>139</v>
      </c>
      <c r="J47" s="5" t="s">
        <v>1210</v>
      </c>
      <c r="K47" s="3">
        <v>0.84</v>
      </c>
      <c r="L47" s="3">
        <v>0.21</v>
      </c>
      <c r="M47" s="3">
        <v>0.6</v>
      </c>
      <c r="N47" s="3">
        <v>0.73</v>
      </c>
      <c r="O47" s="3">
        <v>4</v>
      </c>
      <c r="P47" s="3">
        <v>202</v>
      </c>
      <c r="Q47" s="10">
        <f t="shared" ca="1" si="0"/>
        <v>42487</v>
      </c>
      <c r="R47" s="10">
        <f t="shared" ca="1" si="1"/>
        <v>42503</v>
      </c>
      <c r="S47" s="11">
        <f t="shared" ca="1" si="2"/>
        <v>5.1587301587301584E-2</v>
      </c>
      <c r="T47" s="10"/>
    </row>
    <row r="48" spans="2:20" x14ac:dyDescent="0.2">
      <c r="B48" s="5" t="s">
        <v>1211</v>
      </c>
      <c r="C48" s="3">
        <v>8.85</v>
      </c>
      <c r="D48" s="3">
        <v>0</v>
      </c>
      <c r="E48" s="3">
        <v>5.55</v>
      </c>
      <c r="F48" s="3">
        <v>6.45</v>
      </c>
      <c r="G48" s="3">
        <v>10</v>
      </c>
      <c r="H48" s="3">
        <v>18</v>
      </c>
      <c r="I48" s="3">
        <v>140</v>
      </c>
      <c r="J48" s="5" t="s">
        <v>1212</v>
      </c>
      <c r="K48" s="3">
        <v>0.84</v>
      </c>
      <c r="L48" s="3">
        <v>0.33</v>
      </c>
      <c r="M48" s="3">
        <v>0.77</v>
      </c>
      <c r="N48" s="3">
        <v>0.87</v>
      </c>
      <c r="O48" s="3">
        <v>51</v>
      </c>
      <c r="P48" s="3">
        <v>283</v>
      </c>
      <c r="Q48" s="10">
        <f t="shared" ca="1" si="0"/>
        <v>42487</v>
      </c>
      <c r="R48" s="10">
        <f t="shared" ca="1" si="1"/>
        <v>42503</v>
      </c>
      <c r="S48" s="11">
        <f t="shared" ca="1" si="2"/>
        <v>5.1587301587301584E-2</v>
      </c>
      <c r="T48" s="10"/>
    </row>
    <row r="49" spans="2:20" x14ac:dyDescent="0.2">
      <c r="B49" s="5" t="s">
        <v>1213</v>
      </c>
      <c r="C49" s="3">
        <v>6.3</v>
      </c>
      <c r="D49" s="3">
        <v>0</v>
      </c>
      <c r="E49" s="3">
        <v>6.8</v>
      </c>
      <c r="F49" s="3">
        <v>8</v>
      </c>
      <c r="G49" s="3">
        <v>5</v>
      </c>
      <c r="H49" s="3">
        <v>5</v>
      </c>
      <c r="I49" s="3">
        <v>141</v>
      </c>
      <c r="J49" s="5" t="s">
        <v>1214</v>
      </c>
      <c r="K49" s="3">
        <v>1.1599999999999999</v>
      </c>
      <c r="L49" s="3">
        <v>0.38</v>
      </c>
      <c r="M49" s="3">
        <v>0.97</v>
      </c>
      <c r="N49" s="3">
        <v>1.07</v>
      </c>
      <c r="O49" s="3">
        <v>37</v>
      </c>
      <c r="P49" s="3">
        <v>61</v>
      </c>
      <c r="Q49" s="10">
        <f t="shared" ca="1" si="0"/>
        <v>42487</v>
      </c>
      <c r="R49" s="10">
        <f t="shared" ca="1" si="1"/>
        <v>42503</v>
      </c>
      <c r="S49" s="11">
        <f t="shared" ca="1" si="2"/>
        <v>5.1587301587301584E-2</v>
      </c>
      <c r="T49" s="10"/>
    </row>
    <row r="50" spans="2:20" x14ac:dyDescent="0.2">
      <c r="B50" s="5" t="s">
        <v>1215</v>
      </c>
      <c r="C50" s="3">
        <v>6.8</v>
      </c>
      <c r="D50" s="3">
        <v>0</v>
      </c>
      <c r="E50" s="3">
        <v>4.25</v>
      </c>
      <c r="F50" s="3">
        <v>4.6500000000000004</v>
      </c>
      <c r="G50" s="3">
        <v>10</v>
      </c>
      <c r="H50" s="3">
        <v>10</v>
      </c>
      <c r="I50" s="3">
        <v>142</v>
      </c>
      <c r="J50" s="5" t="s">
        <v>1216</v>
      </c>
      <c r="K50" s="3">
        <v>1.29</v>
      </c>
      <c r="L50" s="3">
        <v>0.48</v>
      </c>
      <c r="M50" s="3">
        <v>1.21</v>
      </c>
      <c r="N50" s="3">
        <v>1.34</v>
      </c>
      <c r="O50" s="3">
        <v>114</v>
      </c>
      <c r="P50" s="3">
        <v>69</v>
      </c>
      <c r="Q50" s="10">
        <f t="shared" ca="1" si="0"/>
        <v>42487</v>
      </c>
      <c r="R50" s="10">
        <f t="shared" ca="1" si="1"/>
        <v>42503</v>
      </c>
      <c r="S50" s="11">
        <f t="shared" ca="1" si="2"/>
        <v>5.1587301587301584E-2</v>
      </c>
      <c r="T50" s="10"/>
    </row>
    <row r="51" spans="2:20" x14ac:dyDescent="0.2">
      <c r="B51" s="5" t="s">
        <v>1217</v>
      </c>
      <c r="C51" s="3">
        <v>2.89</v>
      </c>
      <c r="D51" s="3">
        <v>-1.55</v>
      </c>
      <c r="E51" s="3">
        <v>3.5</v>
      </c>
      <c r="F51" s="3">
        <v>3.8</v>
      </c>
      <c r="G51" s="3">
        <v>5</v>
      </c>
      <c r="H51" s="3">
        <v>5</v>
      </c>
      <c r="I51" s="3">
        <v>143</v>
      </c>
      <c r="J51" s="5" t="s">
        <v>1218</v>
      </c>
      <c r="K51" s="3">
        <v>2.21</v>
      </c>
      <c r="L51" s="3">
        <v>1.39</v>
      </c>
      <c r="M51" s="3">
        <v>1.52</v>
      </c>
      <c r="N51" s="3">
        <v>1.65</v>
      </c>
      <c r="O51" s="3">
        <v>5</v>
      </c>
      <c r="P51" s="3">
        <v>29</v>
      </c>
      <c r="Q51" s="10">
        <f t="shared" ca="1" si="0"/>
        <v>42487</v>
      </c>
      <c r="R51" s="10">
        <f t="shared" ca="1" si="1"/>
        <v>42503</v>
      </c>
      <c r="S51" s="11">
        <f t="shared" ca="1" si="2"/>
        <v>5.1587301587301584E-2</v>
      </c>
      <c r="T51" s="10"/>
    </row>
    <row r="52" spans="2:20" x14ac:dyDescent="0.2">
      <c r="B52" s="5" t="s">
        <v>1219</v>
      </c>
      <c r="C52" s="3">
        <v>3.02</v>
      </c>
      <c r="D52" s="3">
        <v>-3</v>
      </c>
      <c r="E52" s="3">
        <v>2.85</v>
      </c>
      <c r="F52" s="3">
        <v>3.05</v>
      </c>
      <c r="G52" s="3">
        <v>12</v>
      </c>
      <c r="H52" s="3">
        <v>67</v>
      </c>
      <c r="I52" s="3">
        <v>144</v>
      </c>
      <c r="J52" s="5" t="s">
        <v>1220</v>
      </c>
      <c r="K52" s="3">
        <v>2.09</v>
      </c>
      <c r="L52" s="3">
        <v>0.47</v>
      </c>
      <c r="M52" s="3">
        <v>1.89</v>
      </c>
      <c r="N52" s="3">
        <v>2.0299999999999998</v>
      </c>
      <c r="O52" s="3">
        <v>107</v>
      </c>
      <c r="P52" s="3">
        <v>58</v>
      </c>
      <c r="Q52" s="10">
        <f t="shared" ca="1" si="0"/>
        <v>42487</v>
      </c>
      <c r="R52" s="10">
        <f t="shared" ca="1" si="1"/>
        <v>42503</v>
      </c>
      <c r="S52" s="11">
        <f t="shared" ca="1" si="2"/>
        <v>5.1587301587301584E-2</v>
      </c>
      <c r="T52" s="10"/>
    </row>
    <row r="53" spans="2:20" x14ac:dyDescent="0.2">
      <c r="B53" s="5" t="s">
        <v>1221</v>
      </c>
      <c r="C53" s="3">
        <v>2.0699999999999998</v>
      </c>
      <c r="D53" s="3">
        <v>-2.14</v>
      </c>
      <c r="E53" s="3">
        <v>2.23</v>
      </c>
      <c r="F53" s="3">
        <v>2.41</v>
      </c>
      <c r="G53" s="3">
        <v>11</v>
      </c>
      <c r="H53" s="3">
        <v>82</v>
      </c>
      <c r="I53" s="3">
        <v>145</v>
      </c>
      <c r="J53" s="5" t="s">
        <v>1222</v>
      </c>
      <c r="K53" s="3">
        <v>2.4700000000000002</v>
      </c>
      <c r="L53" s="3">
        <v>0.47</v>
      </c>
      <c r="M53" s="3">
        <v>2.33</v>
      </c>
      <c r="N53" s="3">
        <v>2.5099999999999998</v>
      </c>
      <c r="O53" s="3">
        <v>99</v>
      </c>
      <c r="P53" s="3">
        <v>1300</v>
      </c>
      <c r="Q53" s="10">
        <f t="shared" ca="1" si="0"/>
        <v>42487</v>
      </c>
      <c r="R53" s="10">
        <f t="shared" ca="1" si="1"/>
        <v>42503</v>
      </c>
      <c r="S53" s="11">
        <f t="shared" ca="1" si="2"/>
        <v>5.1587301587301584E-2</v>
      </c>
      <c r="T53" s="10"/>
    </row>
    <row r="54" spans="2:20" x14ac:dyDescent="0.2">
      <c r="B54" s="5" t="s">
        <v>1223</v>
      </c>
      <c r="C54" s="3">
        <v>1.55</v>
      </c>
      <c r="D54" s="3">
        <v>-1.85</v>
      </c>
      <c r="E54" s="3">
        <v>1.69</v>
      </c>
      <c r="F54" s="3">
        <v>1.83</v>
      </c>
      <c r="G54" s="3">
        <v>1</v>
      </c>
      <c r="H54" s="3">
        <v>42</v>
      </c>
      <c r="I54" s="3">
        <v>146</v>
      </c>
      <c r="J54" s="5" t="s">
        <v>1224</v>
      </c>
      <c r="K54" s="3">
        <v>3.57</v>
      </c>
      <c r="L54" s="3">
        <v>1.32</v>
      </c>
      <c r="M54" s="3">
        <v>2.84</v>
      </c>
      <c r="N54" s="3">
        <v>3.1</v>
      </c>
      <c r="O54" s="3">
        <v>11</v>
      </c>
      <c r="P54" s="3">
        <v>47</v>
      </c>
      <c r="Q54" s="10">
        <f t="shared" ca="1" si="0"/>
        <v>42487</v>
      </c>
      <c r="R54" s="10">
        <f t="shared" ca="1" si="1"/>
        <v>42503</v>
      </c>
      <c r="S54" s="11">
        <f t="shared" ca="1" si="2"/>
        <v>5.1587301587301584E-2</v>
      </c>
      <c r="T54" s="10"/>
    </row>
    <row r="55" spans="2:20" x14ac:dyDescent="0.2">
      <c r="B55" s="5" t="s">
        <v>1225</v>
      </c>
      <c r="C55" s="3">
        <v>1.03</v>
      </c>
      <c r="D55" s="3">
        <v>-0.87</v>
      </c>
      <c r="E55" s="3">
        <v>1.24</v>
      </c>
      <c r="F55" s="3">
        <v>1.38</v>
      </c>
      <c r="G55" s="3">
        <v>17</v>
      </c>
      <c r="H55" s="3">
        <v>151</v>
      </c>
      <c r="I55" s="3">
        <v>147</v>
      </c>
      <c r="J55" s="5" t="s">
        <v>1226</v>
      </c>
      <c r="K55" s="3">
        <v>3.9</v>
      </c>
      <c r="L55" s="3">
        <v>1.1499999999999999</v>
      </c>
      <c r="M55" s="3">
        <v>3.45</v>
      </c>
      <c r="N55" s="3">
        <v>3.7</v>
      </c>
      <c r="O55" s="3">
        <v>8</v>
      </c>
      <c r="P55" s="3">
        <v>92</v>
      </c>
      <c r="Q55" s="10">
        <f t="shared" ca="1" si="0"/>
        <v>42487</v>
      </c>
      <c r="R55" s="10">
        <f t="shared" ca="1" si="1"/>
        <v>42503</v>
      </c>
      <c r="S55" s="11">
        <f t="shared" ca="1" si="2"/>
        <v>5.1587301587301584E-2</v>
      </c>
      <c r="T55" s="10"/>
    </row>
    <row r="56" spans="2:20" x14ac:dyDescent="0.2">
      <c r="B56" s="5" t="s">
        <v>1227</v>
      </c>
      <c r="C56" s="3">
        <v>0.71</v>
      </c>
      <c r="D56" s="3">
        <v>-0.62</v>
      </c>
      <c r="E56" s="3">
        <v>0.88</v>
      </c>
      <c r="F56" s="3">
        <v>1</v>
      </c>
      <c r="G56" s="3">
        <v>2</v>
      </c>
      <c r="H56" s="3">
        <v>151</v>
      </c>
      <c r="I56" s="3">
        <v>148</v>
      </c>
      <c r="J56" s="5" t="s">
        <v>1228</v>
      </c>
      <c r="K56" s="3">
        <v>4.3</v>
      </c>
      <c r="L56" s="3">
        <v>1.3</v>
      </c>
      <c r="M56" s="3">
        <v>4.0999999999999996</v>
      </c>
      <c r="N56" s="3">
        <v>4.45</v>
      </c>
      <c r="O56" s="3">
        <v>3</v>
      </c>
      <c r="P56" s="3">
        <v>112</v>
      </c>
      <c r="Q56" s="10">
        <f t="shared" ca="1" si="0"/>
        <v>42487</v>
      </c>
      <c r="R56" s="10">
        <f t="shared" ca="1" si="1"/>
        <v>42503</v>
      </c>
      <c r="S56" s="11">
        <f t="shared" ca="1" si="2"/>
        <v>5.1587301587301584E-2</v>
      </c>
      <c r="T56" s="10"/>
    </row>
    <row r="57" spans="2:20" x14ac:dyDescent="0.2">
      <c r="B57" s="5" t="s">
        <v>1229</v>
      </c>
      <c r="C57" s="3">
        <v>0.86</v>
      </c>
      <c r="D57" s="3">
        <v>-0.19</v>
      </c>
      <c r="E57" s="3">
        <v>0.63</v>
      </c>
      <c r="F57" s="3">
        <v>0.72</v>
      </c>
      <c r="G57" s="3">
        <v>7</v>
      </c>
      <c r="H57" s="3">
        <v>108</v>
      </c>
      <c r="I57" s="3">
        <v>149</v>
      </c>
      <c r="J57" s="5" t="s">
        <v>1230</v>
      </c>
      <c r="K57" s="3">
        <v>4.95</v>
      </c>
      <c r="L57" s="3">
        <v>1.1499999999999999</v>
      </c>
      <c r="M57" s="3">
        <v>4.8499999999999996</v>
      </c>
      <c r="N57" s="3">
        <v>5.25</v>
      </c>
      <c r="O57" s="3">
        <v>2</v>
      </c>
      <c r="P57" s="3">
        <v>72</v>
      </c>
      <c r="Q57" s="10">
        <f t="shared" ca="1" si="0"/>
        <v>42487</v>
      </c>
      <c r="R57" s="10">
        <f t="shared" ca="1" si="1"/>
        <v>42503</v>
      </c>
      <c r="S57" s="11">
        <f t="shared" ca="1" si="2"/>
        <v>5.1587301587301584E-2</v>
      </c>
      <c r="T57" s="10"/>
    </row>
    <row r="58" spans="2:20" x14ac:dyDescent="0.2">
      <c r="B58" s="5" t="s">
        <v>1231</v>
      </c>
      <c r="C58" s="3">
        <v>0.45</v>
      </c>
      <c r="D58" s="3">
        <v>-0.32</v>
      </c>
      <c r="E58" s="3">
        <v>0.43</v>
      </c>
      <c r="F58" s="3">
        <v>0.51</v>
      </c>
      <c r="G58" s="3">
        <v>71</v>
      </c>
      <c r="H58" s="3">
        <v>208</v>
      </c>
      <c r="I58" s="3">
        <v>150</v>
      </c>
      <c r="J58" s="5" t="s">
        <v>1232</v>
      </c>
      <c r="K58" s="3">
        <v>5</v>
      </c>
      <c r="L58" s="3">
        <v>0</v>
      </c>
      <c r="M58" s="3">
        <v>5.4</v>
      </c>
      <c r="N58" s="3">
        <v>6.1</v>
      </c>
      <c r="O58" s="3">
        <v>1</v>
      </c>
      <c r="P58" s="3">
        <v>101</v>
      </c>
      <c r="Q58" s="10">
        <f t="shared" ca="1" si="0"/>
        <v>42487</v>
      </c>
      <c r="R58" s="10">
        <f t="shared" ca="1" si="1"/>
        <v>42503</v>
      </c>
      <c r="S58" s="11">
        <f t="shared" ca="1" si="2"/>
        <v>5.1587301587301584E-2</v>
      </c>
      <c r="T58" s="10"/>
    </row>
    <row r="59" spans="2:20" x14ac:dyDescent="0.2">
      <c r="B59" s="5" t="s">
        <v>1233</v>
      </c>
      <c r="C59" s="3">
        <v>0.17</v>
      </c>
      <c r="D59" s="3">
        <v>-0.2</v>
      </c>
      <c r="E59" s="3">
        <v>0.15</v>
      </c>
      <c r="F59" s="3">
        <v>0.22</v>
      </c>
      <c r="G59" s="3">
        <v>162</v>
      </c>
      <c r="H59" s="3">
        <v>596</v>
      </c>
      <c r="I59" s="3">
        <v>152.5</v>
      </c>
      <c r="J59" s="5" t="s">
        <v>1234</v>
      </c>
      <c r="K59" s="3">
        <v>4.0999999999999996</v>
      </c>
      <c r="L59" s="3">
        <v>0</v>
      </c>
      <c r="M59" s="3">
        <v>7.6</v>
      </c>
      <c r="N59" s="3">
        <v>8.85</v>
      </c>
      <c r="O59" s="3">
        <v>5</v>
      </c>
      <c r="P59" s="3">
        <v>90</v>
      </c>
      <c r="Q59" s="10">
        <f t="shared" ca="1" si="0"/>
        <v>42487</v>
      </c>
      <c r="R59" s="10">
        <f t="shared" ca="1" si="1"/>
        <v>42503</v>
      </c>
      <c r="S59" s="11">
        <f t="shared" ca="1" si="2"/>
        <v>5.1587301587301584E-2</v>
      </c>
      <c r="T59" s="10"/>
    </row>
    <row r="60" spans="2:20" x14ac:dyDescent="0.2">
      <c r="B60" s="5" t="s">
        <v>1235</v>
      </c>
      <c r="C60" s="3">
        <v>7.0000000000000007E-2</v>
      </c>
      <c r="D60" s="3">
        <v>-0.15</v>
      </c>
      <c r="E60" s="3">
        <v>0.05</v>
      </c>
      <c r="F60" s="3">
        <v>0.12</v>
      </c>
      <c r="G60" s="3">
        <v>1</v>
      </c>
      <c r="H60" s="3">
        <v>214</v>
      </c>
      <c r="I60" s="3">
        <v>155</v>
      </c>
      <c r="J60" s="5" t="s">
        <v>1236</v>
      </c>
      <c r="K60" s="3">
        <v>10.4</v>
      </c>
      <c r="L60" s="3">
        <v>2.9</v>
      </c>
      <c r="M60" s="3">
        <v>9.9499999999999993</v>
      </c>
      <c r="N60" s="3">
        <v>11.85</v>
      </c>
      <c r="O60" s="3">
        <v>2</v>
      </c>
      <c r="P60" s="3">
        <v>25</v>
      </c>
      <c r="Q60" s="10">
        <f t="shared" ca="1" si="0"/>
        <v>42487</v>
      </c>
      <c r="R60" s="10">
        <f t="shared" ca="1" si="1"/>
        <v>42503</v>
      </c>
      <c r="S60" s="11">
        <f t="shared" ca="1" si="2"/>
        <v>5.1587301587301584E-2</v>
      </c>
      <c r="T60" s="10"/>
    </row>
    <row r="61" spans="2:20" x14ac:dyDescent="0.2">
      <c r="B61" s="5" t="s">
        <v>1237</v>
      </c>
      <c r="C61" s="3">
        <v>0.03</v>
      </c>
      <c r="D61" s="3">
        <v>-0.15</v>
      </c>
      <c r="E61" s="3">
        <v>0</v>
      </c>
      <c r="F61" s="3">
        <v>7.0000000000000007E-2</v>
      </c>
      <c r="G61" s="3">
        <v>3</v>
      </c>
      <c r="H61" s="3">
        <v>104</v>
      </c>
      <c r="I61" s="3">
        <v>157.5</v>
      </c>
      <c r="J61" s="5" t="s">
        <v>1238</v>
      </c>
      <c r="K61" s="3" t="s">
        <v>9</v>
      </c>
      <c r="L61" s="3" t="s">
        <v>9</v>
      </c>
      <c r="M61" s="3" t="s">
        <v>9</v>
      </c>
      <c r="N61" s="3" t="s">
        <v>9</v>
      </c>
      <c r="O61" s="3" t="s">
        <v>9</v>
      </c>
      <c r="P61" s="3" t="s">
        <v>9</v>
      </c>
      <c r="Q61" s="10">
        <f t="shared" ca="1" si="0"/>
        <v>42487</v>
      </c>
      <c r="R61" s="10">
        <f t="shared" ca="1" si="1"/>
        <v>42503</v>
      </c>
      <c r="S61" s="11">
        <f t="shared" ca="1" si="2"/>
        <v>5.1587301587301584E-2</v>
      </c>
      <c r="T61" s="10"/>
    </row>
    <row r="62" spans="2:20" x14ac:dyDescent="0.2">
      <c r="B62" s="5" t="s">
        <v>1239</v>
      </c>
      <c r="C62" s="3">
        <v>0.09</v>
      </c>
      <c r="D62" s="3">
        <v>0</v>
      </c>
      <c r="E62" s="3">
        <v>0</v>
      </c>
      <c r="F62" s="3">
        <v>0.05</v>
      </c>
      <c r="G62" s="3">
        <v>5</v>
      </c>
      <c r="H62" s="3">
        <v>222</v>
      </c>
      <c r="I62" s="3">
        <v>160</v>
      </c>
      <c r="J62" s="5" t="s">
        <v>1240</v>
      </c>
      <c r="K62" s="3" t="s">
        <v>9</v>
      </c>
      <c r="L62" s="3" t="s">
        <v>9</v>
      </c>
      <c r="M62" s="3" t="s">
        <v>9</v>
      </c>
      <c r="N62" s="3" t="s">
        <v>9</v>
      </c>
      <c r="O62" s="3" t="s">
        <v>9</v>
      </c>
      <c r="P62" s="3" t="s">
        <v>9</v>
      </c>
      <c r="Q62" s="10">
        <f t="shared" ca="1" si="0"/>
        <v>42487</v>
      </c>
      <c r="R62" s="10">
        <f t="shared" ca="1" si="1"/>
        <v>42503</v>
      </c>
      <c r="S62" s="11">
        <f t="shared" ca="1" si="2"/>
        <v>5.1587301587301584E-2</v>
      </c>
      <c r="T62" s="10"/>
    </row>
    <row r="63" spans="2:20" x14ac:dyDescent="0.2">
      <c r="B63" s="5" t="s">
        <v>1241</v>
      </c>
      <c r="C63" s="3">
        <v>2.1800000000000002</v>
      </c>
      <c r="D63" s="3">
        <v>0</v>
      </c>
      <c r="E63" s="3">
        <v>0</v>
      </c>
      <c r="F63" s="3">
        <v>0.09</v>
      </c>
      <c r="G63" s="3">
        <v>0</v>
      </c>
      <c r="H63" s="3">
        <v>3</v>
      </c>
      <c r="I63" s="3">
        <v>162.5</v>
      </c>
      <c r="J63" s="5" t="s">
        <v>1242</v>
      </c>
      <c r="K63" s="3" t="s">
        <v>9</v>
      </c>
      <c r="L63" s="3" t="s">
        <v>9</v>
      </c>
      <c r="M63" s="3" t="s">
        <v>9</v>
      </c>
      <c r="N63" s="3" t="s">
        <v>9</v>
      </c>
      <c r="O63" s="3" t="s">
        <v>9</v>
      </c>
      <c r="P63" s="3" t="s">
        <v>9</v>
      </c>
      <c r="Q63" s="10">
        <f t="shared" ca="1" si="0"/>
        <v>42487</v>
      </c>
      <c r="R63" s="10">
        <f t="shared" ca="1" si="1"/>
        <v>42503</v>
      </c>
      <c r="S63" s="11">
        <f t="shared" ca="1" si="2"/>
        <v>5.1587301587301584E-2</v>
      </c>
      <c r="T63" s="10"/>
    </row>
    <row r="64" spans="2:20" x14ac:dyDescent="0.2">
      <c r="B64" s="5" t="s">
        <v>1243</v>
      </c>
      <c r="C64" s="3">
        <v>0.52</v>
      </c>
      <c r="D64" s="3">
        <v>0</v>
      </c>
      <c r="E64" s="3">
        <v>0</v>
      </c>
      <c r="F64" s="3">
        <v>0.05</v>
      </c>
      <c r="G64" s="3">
        <v>0</v>
      </c>
      <c r="H64" s="3">
        <v>2</v>
      </c>
      <c r="I64" s="3">
        <v>165</v>
      </c>
      <c r="J64" s="5" t="s">
        <v>1244</v>
      </c>
      <c r="K64" s="3">
        <v>13.72</v>
      </c>
      <c r="L64" s="3">
        <v>0</v>
      </c>
      <c r="M64" s="3">
        <v>16.5</v>
      </c>
      <c r="N64" s="3">
        <v>19.600000000000001</v>
      </c>
      <c r="O64" s="3">
        <v>0</v>
      </c>
      <c r="P64" s="3">
        <v>0</v>
      </c>
      <c r="Q64" s="10">
        <f t="shared" ca="1" si="0"/>
        <v>42487</v>
      </c>
      <c r="R64" s="10">
        <f t="shared" ca="1" si="1"/>
        <v>42503</v>
      </c>
      <c r="S64" s="11">
        <f t="shared" ca="1" si="2"/>
        <v>5.1587301587301584E-2</v>
      </c>
      <c r="T64" s="10"/>
    </row>
    <row r="65" spans="2:20" x14ac:dyDescent="0.2">
      <c r="B65" s="5" t="s">
        <v>1245</v>
      </c>
      <c r="C65" s="3">
        <v>0.2</v>
      </c>
      <c r="D65" s="3">
        <v>0</v>
      </c>
      <c r="E65" s="3">
        <v>0</v>
      </c>
      <c r="F65" s="3">
        <v>0.05</v>
      </c>
      <c r="G65" s="3">
        <v>0</v>
      </c>
      <c r="H65" s="3">
        <v>72</v>
      </c>
      <c r="I65" s="3">
        <v>170</v>
      </c>
      <c r="J65" s="5" t="s">
        <v>1246</v>
      </c>
      <c r="K65" s="3" t="s">
        <v>9</v>
      </c>
      <c r="L65" s="3" t="s">
        <v>9</v>
      </c>
      <c r="M65" s="3" t="s">
        <v>9</v>
      </c>
      <c r="N65" s="3" t="s">
        <v>9</v>
      </c>
      <c r="O65" s="3" t="s">
        <v>9</v>
      </c>
      <c r="P65" s="3" t="s">
        <v>9</v>
      </c>
      <c r="Q65" s="10">
        <f t="shared" ca="1" si="0"/>
        <v>42487</v>
      </c>
      <c r="R65" s="10">
        <f t="shared" ca="1" si="1"/>
        <v>42503</v>
      </c>
      <c r="S65" s="11">
        <f t="shared" ca="1" si="2"/>
        <v>5.1587301587301584E-2</v>
      </c>
      <c r="T65" s="10"/>
    </row>
    <row r="66" spans="2:20" x14ac:dyDescent="0.2">
      <c r="B66" s="5" t="s">
        <v>1247</v>
      </c>
      <c r="C66" s="3">
        <v>0</v>
      </c>
      <c r="D66" s="3">
        <v>0</v>
      </c>
      <c r="E66" s="3">
        <v>68.2</v>
      </c>
      <c r="F66" s="3">
        <v>71.95</v>
      </c>
      <c r="G66" s="3">
        <v>0</v>
      </c>
      <c r="H66" s="3">
        <v>0</v>
      </c>
      <c r="I66" s="3">
        <v>70</v>
      </c>
      <c r="J66" s="5" t="s">
        <v>1248</v>
      </c>
      <c r="K66" s="3">
        <v>7.0000000000000007E-2</v>
      </c>
      <c r="L66" s="3">
        <v>0</v>
      </c>
      <c r="M66" s="3">
        <v>0</v>
      </c>
      <c r="N66" s="3">
        <v>7.0000000000000007E-2</v>
      </c>
      <c r="O66" s="3">
        <v>0</v>
      </c>
      <c r="P66" s="3">
        <v>259</v>
      </c>
      <c r="Q66" s="10">
        <f t="shared" ca="1" si="0"/>
        <v>42487</v>
      </c>
      <c r="R66" s="10">
        <f t="shared" ca="1" si="1"/>
        <v>42510</v>
      </c>
      <c r="S66" s="11">
        <f t="shared" ca="1" si="2"/>
        <v>7.1428571428571425E-2</v>
      </c>
      <c r="T66" s="10"/>
    </row>
    <row r="67" spans="2:20" x14ac:dyDescent="0.2">
      <c r="B67" s="5" t="s">
        <v>1249</v>
      </c>
      <c r="C67" s="3">
        <v>0</v>
      </c>
      <c r="D67" s="3">
        <v>0</v>
      </c>
      <c r="E67" s="3">
        <v>63.3</v>
      </c>
      <c r="F67" s="3">
        <v>66.95</v>
      </c>
      <c r="G67" s="3">
        <v>0</v>
      </c>
      <c r="H67" s="3">
        <v>0</v>
      </c>
      <c r="I67" s="3">
        <v>75</v>
      </c>
      <c r="J67" s="5" t="s">
        <v>1250</v>
      </c>
      <c r="K67" s="3">
        <v>0</v>
      </c>
      <c r="L67" s="3">
        <v>0</v>
      </c>
      <c r="M67" s="3">
        <v>0</v>
      </c>
      <c r="N67" s="3">
        <v>0.09</v>
      </c>
      <c r="O67" s="3">
        <v>0</v>
      </c>
      <c r="P67" s="3">
        <v>0</v>
      </c>
      <c r="Q67" s="10">
        <f t="shared" ca="1" si="0"/>
        <v>42487</v>
      </c>
      <c r="R67" s="10">
        <f t="shared" ca="1" si="1"/>
        <v>42510</v>
      </c>
      <c r="S67" s="11">
        <f t="shared" ca="1" si="2"/>
        <v>7.1428571428571425E-2</v>
      </c>
      <c r="T67" s="10"/>
    </row>
    <row r="68" spans="2:20" x14ac:dyDescent="0.2">
      <c r="B68" s="5" t="s">
        <v>1251</v>
      </c>
      <c r="C68" s="3">
        <v>0</v>
      </c>
      <c r="D68" s="3">
        <v>0</v>
      </c>
      <c r="E68" s="3">
        <v>58.2</v>
      </c>
      <c r="F68" s="3">
        <v>61.95</v>
      </c>
      <c r="G68" s="3">
        <v>0</v>
      </c>
      <c r="H68" s="3">
        <v>0</v>
      </c>
      <c r="I68" s="3">
        <v>80</v>
      </c>
      <c r="J68" s="5" t="s">
        <v>1252</v>
      </c>
      <c r="K68" s="3">
        <v>0</v>
      </c>
      <c r="L68" s="3">
        <v>0</v>
      </c>
      <c r="M68" s="3">
        <v>0.02</v>
      </c>
      <c r="N68" s="3">
        <v>0.11</v>
      </c>
      <c r="O68" s="3">
        <v>0</v>
      </c>
      <c r="P68" s="3">
        <v>0</v>
      </c>
      <c r="Q68" s="10">
        <f t="shared" ca="1" si="0"/>
        <v>42487</v>
      </c>
      <c r="R68" s="10">
        <f t="shared" ca="1" si="1"/>
        <v>42510</v>
      </c>
      <c r="S68" s="11">
        <f t="shared" ca="1" si="2"/>
        <v>7.1428571428571425E-2</v>
      </c>
      <c r="T68" s="10"/>
    </row>
    <row r="69" spans="2:20" x14ac:dyDescent="0.2">
      <c r="B69" s="5" t="s">
        <v>1253</v>
      </c>
      <c r="C69" s="3">
        <v>0</v>
      </c>
      <c r="D69" s="3">
        <v>0</v>
      </c>
      <c r="E69" s="3">
        <v>53.1</v>
      </c>
      <c r="F69" s="3">
        <v>56.65</v>
      </c>
      <c r="G69" s="3">
        <v>0</v>
      </c>
      <c r="H69" s="3">
        <v>0</v>
      </c>
      <c r="I69" s="3">
        <v>85</v>
      </c>
      <c r="J69" s="5" t="s">
        <v>1254</v>
      </c>
      <c r="K69" s="3">
        <v>0.03</v>
      </c>
      <c r="L69" s="3">
        <v>0</v>
      </c>
      <c r="M69" s="3">
        <v>0.03</v>
      </c>
      <c r="N69" s="3">
        <v>0.04</v>
      </c>
      <c r="O69" s="3">
        <v>383</v>
      </c>
      <c r="P69" s="3">
        <v>314</v>
      </c>
      <c r="Q69" s="10">
        <f t="shared" ca="1" si="0"/>
        <v>42487</v>
      </c>
      <c r="R69" s="10">
        <f t="shared" ca="1" si="1"/>
        <v>42510</v>
      </c>
      <c r="S69" s="11">
        <f t="shared" ca="1" si="2"/>
        <v>7.1428571428571425E-2</v>
      </c>
      <c r="T69" s="10"/>
    </row>
    <row r="70" spans="2:20" x14ac:dyDescent="0.2">
      <c r="B70" s="5" t="s">
        <v>1255</v>
      </c>
      <c r="C70" s="3">
        <v>0</v>
      </c>
      <c r="D70" s="3">
        <v>0</v>
      </c>
      <c r="E70" s="3">
        <v>48.3</v>
      </c>
      <c r="F70" s="3">
        <v>52</v>
      </c>
      <c r="G70" s="3">
        <v>0</v>
      </c>
      <c r="H70" s="3">
        <v>0</v>
      </c>
      <c r="I70" s="3">
        <v>90</v>
      </c>
      <c r="J70" s="5" t="s">
        <v>1256</v>
      </c>
      <c r="K70" s="3">
        <v>0.03</v>
      </c>
      <c r="L70" s="3">
        <v>0</v>
      </c>
      <c r="M70" s="3">
        <v>0</v>
      </c>
      <c r="N70" s="3">
        <v>0.01</v>
      </c>
      <c r="O70" s="3">
        <v>1</v>
      </c>
      <c r="P70" s="3">
        <v>9595</v>
      </c>
      <c r="Q70" s="10">
        <f t="shared" ca="1" si="0"/>
        <v>42487</v>
      </c>
      <c r="R70" s="10">
        <f t="shared" ca="1" si="1"/>
        <v>42510</v>
      </c>
      <c r="S70" s="11">
        <f t="shared" ca="1" si="2"/>
        <v>7.1428571428571425E-2</v>
      </c>
      <c r="T70" s="10"/>
    </row>
    <row r="71" spans="2:20" x14ac:dyDescent="0.2">
      <c r="B71" s="5" t="s">
        <v>1257</v>
      </c>
      <c r="C71" s="3">
        <v>0</v>
      </c>
      <c r="D71" s="3">
        <v>0</v>
      </c>
      <c r="E71" s="3">
        <v>43.3</v>
      </c>
      <c r="F71" s="3">
        <v>46.75</v>
      </c>
      <c r="G71" s="3">
        <v>0</v>
      </c>
      <c r="H71" s="3">
        <v>0</v>
      </c>
      <c r="I71" s="3">
        <v>95</v>
      </c>
      <c r="J71" s="5" t="s">
        <v>1258</v>
      </c>
      <c r="K71" s="3">
        <v>0.03</v>
      </c>
      <c r="L71" s="3">
        <v>0</v>
      </c>
      <c r="M71" s="3">
        <v>0</v>
      </c>
      <c r="N71" s="3">
        <v>0.03</v>
      </c>
      <c r="O71" s="3">
        <v>10</v>
      </c>
      <c r="P71" s="3">
        <v>90</v>
      </c>
      <c r="Q71" s="10">
        <f t="shared" ref="Q71:Q134" ca="1" si="3">TODAY()</f>
        <v>42487</v>
      </c>
      <c r="R71" s="10">
        <f t="shared" ref="R71:R134" ca="1" si="4">DATE(MID(B71,$R$3+1,2)+100,MID(B71,$R$3+3,2),MID(B71,$R$3+5,2))</f>
        <v>42510</v>
      </c>
      <c r="S71" s="11">
        <f t="shared" ref="S71:S134" ca="1" si="5">NETWORKDAYS(Q71,R71)/252</f>
        <v>7.1428571428571425E-2</v>
      </c>
      <c r="T71" s="10"/>
    </row>
    <row r="72" spans="2:20" x14ac:dyDescent="0.2">
      <c r="B72" s="5" t="s">
        <v>1259</v>
      </c>
      <c r="C72" s="3">
        <v>0</v>
      </c>
      <c r="D72" s="3">
        <v>0</v>
      </c>
      <c r="E72" s="3">
        <v>38.4</v>
      </c>
      <c r="F72" s="3">
        <v>41.8</v>
      </c>
      <c r="G72" s="3">
        <v>0</v>
      </c>
      <c r="H72" s="3">
        <v>0</v>
      </c>
      <c r="I72" s="3">
        <v>100</v>
      </c>
      <c r="J72" s="5" t="s">
        <v>1260</v>
      </c>
      <c r="K72" s="3">
        <v>0.03</v>
      </c>
      <c r="L72" s="3">
        <v>0</v>
      </c>
      <c r="M72" s="3">
        <v>0</v>
      </c>
      <c r="N72" s="3">
        <v>0.04</v>
      </c>
      <c r="O72" s="3">
        <v>1</v>
      </c>
      <c r="P72" s="3">
        <v>1156</v>
      </c>
      <c r="Q72" s="10">
        <f t="shared" ca="1" si="3"/>
        <v>42487</v>
      </c>
      <c r="R72" s="10">
        <f t="shared" ca="1" si="4"/>
        <v>42510</v>
      </c>
      <c r="S72" s="11">
        <f t="shared" ca="1" si="5"/>
        <v>7.1428571428571425E-2</v>
      </c>
      <c r="T72" s="10"/>
    </row>
    <row r="73" spans="2:20" x14ac:dyDescent="0.2">
      <c r="B73" s="5" t="s">
        <v>1261</v>
      </c>
      <c r="C73" s="3">
        <v>0</v>
      </c>
      <c r="D73" s="3">
        <v>0</v>
      </c>
      <c r="E73" s="3">
        <v>33.35</v>
      </c>
      <c r="F73" s="3">
        <v>36.9</v>
      </c>
      <c r="G73" s="3">
        <v>0</v>
      </c>
      <c r="H73" s="3">
        <v>0</v>
      </c>
      <c r="I73" s="3">
        <v>105</v>
      </c>
      <c r="J73" s="5" t="s">
        <v>1262</v>
      </c>
      <c r="K73" s="3">
        <v>0.01</v>
      </c>
      <c r="L73" s="3">
        <v>0</v>
      </c>
      <c r="M73" s="3">
        <v>0</v>
      </c>
      <c r="N73" s="3">
        <v>7.0000000000000007E-2</v>
      </c>
      <c r="O73" s="3">
        <v>1</v>
      </c>
      <c r="P73" s="3">
        <v>964</v>
      </c>
      <c r="Q73" s="10">
        <f t="shared" ca="1" si="3"/>
        <v>42487</v>
      </c>
      <c r="R73" s="10">
        <f t="shared" ca="1" si="4"/>
        <v>42510</v>
      </c>
      <c r="S73" s="11">
        <f t="shared" ca="1" si="5"/>
        <v>7.1428571428571425E-2</v>
      </c>
      <c r="T73" s="10"/>
    </row>
    <row r="74" spans="2:20" x14ac:dyDescent="0.2">
      <c r="B74" s="5" t="s">
        <v>1263</v>
      </c>
      <c r="C74" s="3">
        <v>0</v>
      </c>
      <c r="D74" s="3">
        <v>0</v>
      </c>
      <c r="E74" s="3">
        <v>28.5</v>
      </c>
      <c r="F74" s="3">
        <v>31.75</v>
      </c>
      <c r="G74" s="3">
        <v>0</v>
      </c>
      <c r="H74" s="3">
        <v>0</v>
      </c>
      <c r="I74" s="3">
        <v>110</v>
      </c>
      <c r="J74" s="5" t="s">
        <v>1264</v>
      </c>
      <c r="K74" s="3">
        <v>0.02</v>
      </c>
      <c r="L74" s="3">
        <v>0</v>
      </c>
      <c r="M74" s="3">
        <v>0</v>
      </c>
      <c r="N74" s="3">
        <v>0.02</v>
      </c>
      <c r="O74" s="3">
        <v>210</v>
      </c>
      <c r="P74" s="3">
        <v>571</v>
      </c>
      <c r="Q74" s="10">
        <f t="shared" ca="1" si="3"/>
        <v>42487</v>
      </c>
      <c r="R74" s="10">
        <f t="shared" ca="1" si="4"/>
        <v>42510</v>
      </c>
      <c r="S74" s="11">
        <f t="shared" ca="1" si="5"/>
        <v>7.1428571428571425E-2</v>
      </c>
      <c r="T74" s="10"/>
    </row>
    <row r="75" spans="2:20" x14ac:dyDescent="0.2">
      <c r="B75" s="5" t="s">
        <v>1265</v>
      </c>
      <c r="C75" s="3">
        <v>0</v>
      </c>
      <c r="D75" s="3">
        <v>0</v>
      </c>
      <c r="E75" s="3">
        <v>23.95</v>
      </c>
      <c r="F75" s="3">
        <v>26.6</v>
      </c>
      <c r="G75" s="3">
        <v>0</v>
      </c>
      <c r="H75" s="3">
        <v>0</v>
      </c>
      <c r="I75" s="3">
        <v>115</v>
      </c>
      <c r="J75" s="5" t="s">
        <v>1266</v>
      </c>
      <c r="K75" s="3">
        <v>0.02</v>
      </c>
      <c r="L75" s="3">
        <v>-0.01</v>
      </c>
      <c r="M75" s="3">
        <v>0.01</v>
      </c>
      <c r="N75" s="3">
        <v>0.03</v>
      </c>
      <c r="O75" s="3">
        <v>25</v>
      </c>
      <c r="P75" s="3">
        <v>587</v>
      </c>
      <c r="Q75" s="10">
        <f t="shared" ca="1" si="3"/>
        <v>42487</v>
      </c>
      <c r="R75" s="10">
        <f t="shared" ca="1" si="4"/>
        <v>42510</v>
      </c>
      <c r="S75" s="11">
        <f t="shared" ca="1" si="5"/>
        <v>7.1428571428571425E-2</v>
      </c>
      <c r="T75" s="10"/>
    </row>
    <row r="76" spans="2:20" x14ac:dyDescent="0.2">
      <c r="B76" s="5" t="s">
        <v>1267</v>
      </c>
      <c r="C76" s="3">
        <v>27.3</v>
      </c>
      <c r="D76" s="3">
        <v>0</v>
      </c>
      <c r="E76" s="3">
        <v>27.3</v>
      </c>
      <c r="F76" s="3">
        <v>30.05</v>
      </c>
      <c r="G76" s="3">
        <v>1</v>
      </c>
      <c r="H76" s="3">
        <v>3</v>
      </c>
      <c r="I76" s="3">
        <v>120</v>
      </c>
      <c r="J76" s="5" t="s">
        <v>1268</v>
      </c>
      <c r="K76" s="3">
        <v>0.05</v>
      </c>
      <c r="L76" s="3">
        <v>0.01</v>
      </c>
      <c r="M76" s="3">
        <v>0.05</v>
      </c>
      <c r="N76" s="3">
        <v>7.0000000000000007E-2</v>
      </c>
      <c r="O76" s="3">
        <v>15</v>
      </c>
      <c r="P76" s="3">
        <v>936</v>
      </c>
      <c r="Q76" s="10">
        <f t="shared" ca="1" si="3"/>
        <v>42487</v>
      </c>
      <c r="R76" s="10">
        <f t="shared" ca="1" si="4"/>
        <v>42510</v>
      </c>
      <c r="S76" s="11">
        <f t="shared" ca="1" si="5"/>
        <v>7.1428571428571425E-2</v>
      </c>
      <c r="T76" s="10"/>
    </row>
    <row r="77" spans="2:20" x14ac:dyDescent="0.2">
      <c r="B77" s="5" t="s">
        <v>1269</v>
      </c>
      <c r="C77" s="3" t="s">
        <v>9</v>
      </c>
      <c r="D77" s="3" t="s">
        <v>9</v>
      </c>
      <c r="E77" s="3" t="s">
        <v>9</v>
      </c>
      <c r="F77" s="3" t="s">
        <v>9</v>
      </c>
      <c r="G77" s="3" t="s">
        <v>9</v>
      </c>
      <c r="H77" s="3" t="s">
        <v>9</v>
      </c>
      <c r="I77" s="3">
        <v>123</v>
      </c>
      <c r="J77" s="5" t="s">
        <v>1270</v>
      </c>
      <c r="K77" s="3">
        <v>7.0000000000000007E-2</v>
      </c>
      <c r="L77" s="3">
        <v>-0.04</v>
      </c>
      <c r="M77" s="3">
        <v>0.06</v>
      </c>
      <c r="N77" s="3">
        <v>0.08</v>
      </c>
      <c r="O77" s="3">
        <v>3</v>
      </c>
      <c r="P77" s="3">
        <v>7</v>
      </c>
      <c r="Q77" s="10">
        <f t="shared" ca="1" si="3"/>
        <v>42487</v>
      </c>
      <c r="R77" s="10">
        <f t="shared" ca="1" si="4"/>
        <v>42510</v>
      </c>
      <c r="S77" s="11">
        <f t="shared" ca="1" si="5"/>
        <v>7.1428571428571425E-2</v>
      </c>
      <c r="T77" s="10"/>
    </row>
    <row r="78" spans="2:20" x14ac:dyDescent="0.2">
      <c r="B78" s="5" t="s">
        <v>1271</v>
      </c>
      <c r="C78" s="3" t="s">
        <v>9</v>
      </c>
      <c r="D78" s="3" t="s">
        <v>9</v>
      </c>
      <c r="E78" s="3" t="s">
        <v>9</v>
      </c>
      <c r="F78" s="3" t="s">
        <v>9</v>
      </c>
      <c r="G78" s="3" t="s">
        <v>9</v>
      </c>
      <c r="H78" s="3" t="s">
        <v>9</v>
      </c>
      <c r="I78" s="3">
        <v>124</v>
      </c>
      <c r="J78" s="5" t="s">
        <v>1272</v>
      </c>
      <c r="K78" s="3">
        <v>0.12</v>
      </c>
      <c r="L78" s="3">
        <v>0</v>
      </c>
      <c r="M78" s="3">
        <v>7.0000000000000007E-2</v>
      </c>
      <c r="N78" s="3">
        <v>0.1</v>
      </c>
      <c r="O78" s="3">
        <v>4</v>
      </c>
      <c r="P78" s="3">
        <v>8</v>
      </c>
      <c r="Q78" s="10">
        <f t="shared" ca="1" si="3"/>
        <v>42487</v>
      </c>
      <c r="R78" s="10">
        <f t="shared" ca="1" si="4"/>
        <v>42510</v>
      </c>
      <c r="S78" s="11">
        <f t="shared" ca="1" si="5"/>
        <v>7.1428571428571425E-2</v>
      </c>
      <c r="T78" s="10"/>
    </row>
    <row r="79" spans="2:20" x14ac:dyDescent="0.2">
      <c r="B79" s="5" t="s">
        <v>1273</v>
      </c>
      <c r="C79" s="3">
        <v>21.55</v>
      </c>
      <c r="D79" s="3">
        <v>0</v>
      </c>
      <c r="E79" s="3">
        <v>22.1</v>
      </c>
      <c r="F79" s="3">
        <v>24.45</v>
      </c>
      <c r="G79" s="3">
        <v>3</v>
      </c>
      <c r="H79" s="3">
        <v>149</v>
      </c>
      <c r="I79" s="3">
        <v>125</v>
      </c>
      <c r="J79" s="5" t="s">
        <v>1274</v>
      </c>
      <c r="K79" s="3">
        <v>0.13</v>
      </c>
      <c r="L79" s="3">
        <v>7.0000000000000007E-2</v>
      </c>
      <c r="M79" s="3">
        <v>0.09</v>
      </c>
      <c r="N79" s="3">
        <v>0.12</v>
      </c>
      <c r="O79" s="3">
        <v>1</v>
      </c>
      <c r="P79" s="3">
        <v>1154</v>
      </c>
      <c r="Q79" s="10">
        <f t="shared" ca="1" si="3"/>
        <v>42487</v>
      </c>
      <c r="R79" s="10">
        <f t="shared" ca="1" si="4"/>
        <v>42510</v>
      </c>
      <c r="S79" s="11">
        <f t="shared" ca="1" si="5"/>
        <v>7.1428571428571425E-2</v>
      </c>
      <c r="T79" s="10"/>
    </row>
    <row r="80" spans="2:20" x14ac:dyDescent="0.2">
      <c r="B80" s="5" t="s">
        <v>1275</v>
      </c>
      <c r="C80" s="3" t="s">
        <v>9</v>
      </c>
      <c r="D80" s="3" t="s">
        <v>9</v>
      </c>
      <c r="E80" s="3" t="s">
        <v>9</v>
      </c>
      <c r="F80" s="3" t="s">
        <v>9</v>
      </c>
      <c r="G80" s="3" t="s">
        <v>9</v>
      </c>
      <c r="H80" s="3" t="s">
        <v>9</v>
      </c>
      <c r="I80" s="3">
        <v>126</v>
      </c>
      <c r="J80" s="5" t="s">
        <v>1276</v>
      </c>
      <c r="K80" s="3">
        <v>0.11</v>
      </c>
      <c r="L80" s="3">
        <v>0</v>
      </c>
      <c r="M80" s="3">
        <v>0.09</v>
      </c>
      <c r="N80" s="3">
        <v>0.13</v>
      </c>
      <c r="O80" s="3">
        <v>7</v>
      </c>
      <c r="P80" s="3">
        <v>1</v>
      </c>
      <c r="Q80" s="10">
        <f t="shared" ca="1" si="3"/>
        <v>42487</v>
      </c>
      <c r="R80" s="10">
        <f t="shared" ca="1" si="4"/>
        <v>42510</v>
      </c>
      <c r="S80" s="11">
        <f t="shared" ca="1" si="5"/>
        <v>7.1428571428571425E-2</v>
      </c>
      <c r="T80" s="10"/>
    </row>
    <row r="81" spans="2:20" x14ac:dyDescent="0.2">
      <c r="B81" s="5" t="s">
        <v>1277</v>
      </c>
      <c r="C81" s="3" t="s">
        <v>9</v>
      </c>
      <c r="D81" s="3" t="s">
        <v>9</v>
      </c>
      <c r="E81" s="3" t="s">
        <v>9</v>
      </c>
      <c r="F81" s="3" t="s">
        <v>9</v>
      </c>
      <c r="G81" s="3" t="s">
        <v>9</v>
      </c>
      <c r="H81" s="3" t="s">
        <v>9</v>
      </c>
      <c r="I81" s="3">
        <v>127</v>
      </c>
      <c r="J81" s="5" t="s">
        <v>1278</v>
      </c>
      <c r="K81" s="3">
        <v>0.09</v>
      </c>
      <c r="L81" s="3">
        <v>0</v>
      </c>
      <c r="M81" s="3">
        <v>0.12</v>
      </c>
      <c r="N81" s="3">
        <v>0.16</v>
      </c>
      <c r="O81" s="3">
        <v>10</v>
      </c>
      <c r="P81" s="3">
        <v>14</v>
      </c>
      <c r="Q81" s="10">
        <f t="shared" ca="1" si="3"/>
        <v>42487</v>
      </c>
      <c r="R81" s="10">
        <f t="shared" ca="1" si="4"/>
        <v>42510</v>
      </c>
      <c r="S81" s="11">
        <f t="shared" ca="1" si="5"/>
        <v>7.1428571428571425E-2</v>
      </c>
      <c r="T81" s="10"/>
    </row>
    <row r="82" spans="2:20" x14ac:dyDescent="0.2">
      <c r="B82" s="5" t="s">
        <v>1279</v>
      </c>
      <c r="C82" s="3" t="s">
        <v>9</v>
      </c>
      <c r="D82" s="3" t="s">
        <v>9</v>
      </c>
      <c r="E82" s="3" t="s">
        <v>9</v>
      </c>
      <c r="F82" s="3" t="s">
        <v>9</v>
      </c>
      <c r="G82" s="3" t="s">
        <v>9</v>
      </c>
      <c r="H82" s="3" t="s">
        <v>9</v>
      </c>
      <c r="I82" s="3">
        <v>128</v>
      </c>
      <c r="J82" s="5" t="s">
        <v>1280</v>
      </c>
      <c r="K82" s="3">
        <v>0.13</v>
      </c>
      <c r="L82" s="3">
        <v>0</v>
      </c>
      <c r="M82" s="3">
        <v>0.15</v>
      </c>
      <c r="N82" s="3">
        <v>0.18</v>
      </c>
      <c r="O82" s="3">
        <v>10</v>
      </c>
      <c r="P82" s="3">
        <v>23</v>
      </c>
      <c r="Q82" s="10">
        <f t="shared" ca="1" si="3"/>
        <v>42487</v>
      </c>
      <c r="R82" s="10">
        <f t="shared" ca="1" si="4"/>
        <v>42510</v>
      </c>
      <c r="S82" s="11">
        <f t="shared" ca="1" si="5"/>
        <v>7.1428571428571425E-2</v>
      </c>
      <c r="T82" s="10"/>
    </row>
    <row r="83" spans="2:20" x14ac:dyDescent="0.2">
      <c r="B83" s="5" t="s">
        <v>1281</v>
      </c>
      <c r="C83" s="3" t="s">
        <v>9</v>
      </c>
      <c r="D83" s="3" t="s">
        <v>9</v>
      </c>
      <c r="E83" s="3" t="s">
        <v>9</v>
      </c>
      <c r="F83" s="3" t="s">
        <v>9</v>
      </c>
      <c r="G83" s="3" t="s">
        <v>9</v>
      </c>
      <c r="H83" s="3" t="s">
        <v>9</v>
      </c>
      <c r="I83" s="3">
        <v>129</v>
      </c>
      <c r="J83" s="5" t="s">
        <v>1282</v>
      </c>
      <c r="K83" s="3">
        <v>0.2</v>
      </c>
      <c r="L83" s="3">
        <v>0.1</v>
      </c>
      <c r="M83" s="3">
        <v>0.17</v>
      </c>
      <c r="N83" s="3">
        <v>0.2</v>
      </c>
      <c r="O83" s="3">
        <v>5</v>
      </c>
      <c r="P83" s="3">
        <v>66</v>
      </c>
      <c r="Q83" s="10">
        <f t="shared" ca="1" si="3"/>
        <v>42487</v>
      </c>
      <c r="R83" s="10">
        <f t="shared" ca="1" si="4"/>
        <v>42510</v>
      </c>
      <c r="S83" s="11">
        <f t="shared" ca="1" si="5"/>
        <v>7.1428571428571425E-2</v>
      </c>
      <c r="T83" s="10"/>
    </row>
    <row r="84" spans="2:20" x14ac:dyDescent="0.2">
      <c r="B84" s="5" t="s">
        <v>1283</v>
      </c>
      <c r="C84" s="3">
        <v>15.66</v>
      </c>
      <c r="D84" s="3">
        <v>-1.96</v>
      </c>
      <c r="E84" s="3">
        <v>14.85</v>
      </c>
      <c r="F84" s="3">
        <v>16.45</v>
      </c>
      <c r="G84" s="3">
        <v>8</v>
      </c>
      <c r="H84" s="3">
        <v>899</v>
      </c>
      <c r="I84" s="3">
        <v>130</v>
      </c>
      <c r="J84" s="5" t="s">
        <v>1284</v>
      </c>
      <c r="K84" s="3">
        <v>0.26</v>
      </c>
      <c r="L84" s="3">
        <v>0.11</v>
      </c>
      <c r="M84" s="3">
        <v>0.2</v>
      </c>
      <c r="N84" s="3">
        <v>0.23</v>
      </c>
      <c r="O84" s="3">
        <v>6</v>
      </c>
      <c r="P84" s="3">
        <v>1646</v>
      </c>
      <c r="Q84" s="10">
        <f t="shared" ca="1" si="3"/>
        <v>42487</v>
      </c>
      <c r="R84" s="10">
        <f t="shared" ca="1" si="4"/>
        <v>42510</v>
      </c>
      <c r="S84" s="11">
        <f t="shared" ca="1" si="5"/>
        <v>7.1428571428571425E-2</v>
      </c>
      <c r="T84" s="10"/>
    </row>
    <row r="85" spans="2:20" x14ac:dyDescent="0.2">
      <c r="B85" s="5" t="s">
        <v>1285</v>
      </c>
      <c r="C85" s="3">
        <v>18.399999999999999</v>
      </c>
      <c r="D85" s="3">
        <v>0</v>
      </c>
      <c r="E85" s="3">
        <v>17</v>
      </c>
      <c r="F85" s="3">
        <v>19</v>
      </c>
      <c r="G85" s="3">
        <v>1</v>
      </c>
      <c r="H85" s="3">
        <v>0</v>
      </c>
      <c r="I85" s="3">
        <v>131</v>
      </c>
      <c r="J85" s="5" t="s">
        <v>1286</v>
      </c>
      <c r="K85" s="3">
        <v>0.3</v>
      </c>
      <c r="L85" s="3">
        <v>0.14000000000000001</v>
      </c>
      <c r="M85" s="3">
        <v>0.23</v>
      </c>
      <c r="N85" s="3">
        <v>0.27</v>
      </c>
      <c r="O85" s="3">
        <v>6</v>
      </c>
      <c r="P85" s="3">
        <v>31</v>
      </c>
      <c r="Q85" s="10">
        <f t="shared" ca="1" si="3"/>
        <v>42487</v>
      </c>
      <c r="R85" s="10">
        <f t="shared" ca="1" si="4"/>
        <v>42510</v>
      </c>
      <c r="S85" s="11">
        <f t="shared" ca="1" si="5"/>
        <v>7.1428571428571425E-2</v>
      </c>
      <c r="T85" s="10"/>
    </row>
    <row r="86" spans="2:20" x14ac:dyDescent="0.2">
      <c r="B86" s="5" t="s">
        <v>1287</v>
      </c>
      <c r="C86" s="3">
        <v>15.97</v>
      </c>
      <c r="D86" s="3">
        <v>0</v>
      </c>
      <c r="E86" s="3">
        <v>15.95</v>
      </c>
      <c r="F86" s="3">
        <v>16.8</v>
      </c>
      <c r="G86" s="3">
        <v>12</v>
      </c>
      <c r="H86" s="3">
        <v>0</v>
      </c>
      <c r="I86" s="3">
        <v>132</v>
      </c>
      <c r="J86" s="5" t="s">
        <v>1288</v>
      </c>
      <c r="K86" s="3">
        <v>0.33</v>
      </c>
      <c r="L86" s="3">
        <v>0.16</v>
      </c>
      <c r="M86" s="3">
        <v>0.27</v>
      </c>
      <c r="N86" s="3">
        <v>0.31</v>
      </c>
      <c r="O86" s="3">
        <v>21</v>
      </c>
      <c r="P86" s="3">
        <v>100</v>
      </c>
      <c r="Q86" s="10">
        <f t="shared" ca="1" si="3"/>
        <v>42487</v>
      </c>
      <c r="R86" s="10">
        <f t="shared" ca="1" si="4"/>
        <v>42510</v>
      </c>
      <c r="S86" s="11">
        <f t="shared" ca="1" si="5"/>
        <v>7.1428571428571425E-2</v>
      </c>
      <c r="T86" s="10"/>
    </row>
    <row r="87" spans="2:20" x14ac:dyDescent="0.2">
      <c r="B87" s="5" t="s">
        <v>1289</v>
      </c>
      <c r="C87" s="3" t="s">
        <v>9</v>
      </c>
      <c r="D87" s="3" t="s">
        <v>9</v>
      </c>
      <c r="E87" s="3" t="s">
        <v>9</v>
      </c>
      <c r="F87" s="3" t="s">
        <v>9</v>
      </c>
      <c r="G87" s="3" t="s">
        <v>9</v>
      </c>
      <c r="H87" s="3" t="s">
        <v>9</v>
      </c>
      <c r="I87" s="3">
        <v>133</v>
      </c>
      <c r="J87" s="5" t="s">
        <v>1290</v>
      </c>
      <c r="K87" s="3">
        <v>0.41</v>
      </c>
      <c r="L87" s="3">
        <v>0.1</v>
      </c>
      <c r="M87" s="3">
        <v>0.33</v>
      </c>
      <c r="N87" s="3">
        <v>0.35</v>
      </c>
      <c r="O87" s="3">
        <v>6</v>
      </c>
      <c r="P87" s="3">
        <v>54</v>
      </c>
      <c r="Q87" s="10">
        <f t="shared" ca="1" si="3"/>
        <v>42487</v>
      </c>
      <c r="R87" s="10">
        <f t="shared" ca="1" si="4"/>
        <v>42510</v>
      </c>
      <c r="S87" s="11">
        <f t="shared" ca="1" si="5"/>
        <v>7.1428571428571425E-2</v>
      </c>
      <c r="T87" s="10"/>
    </row>
    <row r="88" spans="2:20" x14ac:dyDescent="0.2">
      <c r="B88" s="5" t="s">
        <v>1291</v>
      </c>
      <c r="C88" s="3">
        <v>14.17</v>
      </c>
      <c r="D88" s="3">
        <v>0</v>
      </c>
      <c r="E88" s="3">
        <v>13.9</v>
      </c>
      <c r="F88" s="3">
        <v>14.9</v>
      </c>
      <c r="G88" s="3">
        <v>11</v>
      </c>
      <c r="H88" s="3">
        <v>0</v>
      </c>
      <c r="I88" s="3">
        <v>134</v>
      </c>
      <c r="J88" s="5" t="s">
        <v>1292</v>
      </c>
      <c r="K88" s="3">
        <v>0.25</v>
      </c>
      <c r="L88" s="3">
        <v>0</v>
      </c>
      <c r="M88" s="3">
        <v>0.38</v>
      </c>
      <c r="N88" s="3">
        <v>0.41</v>
      </c>
      <c r="O88" s="3">
        <v>5</v>
      </c>
      <c r="P88" s="3">
        <v>42</v>
      </c>
      <c r="Q88" s="10">
        <f t="shared" ca="1" si="3"/>
        <v>42487</v>
      </c>
      <c r="R88" s="10">
        <f t="shared" ca="1" si="4"/>
        <v>42510</v>
      </c>
      <c r="S88" s="11">
        <f t="shared" ca="1" si="5"/>
        <v>7.1428571428571425E-2</v>
      </c>
      <c r="T88" s="10"/>
    </row>
    <row r="89" spans="2:20" x14ac:dyDescent="0.2">
      <c r="B89" s="5" t="s">
        <v>1293</v>
      </c>
      <c r="C89" s="3">
        <v>10.5</v>
      </c>
      <c r="D89" s="3">
        <v>-2.2999999999999998</v>
      </c>
      <c r="E89" s="3">
        <v>10.5</v>
      </c>
      <c r="F89" s="3">
        <v>11.45</v>
      </c>
      <c r="G89" s="3">
        <v>4</v>
      </c>
      <c r="H89" s="3">
        <v>1397</v>
      </c>
      <c r="I89" s="3">
        <v>135</v>
      </c>
      <c r="J89" s="5" t="s">
        <v>1294</v>
      </c>
      <c r="K89" s="3">
        <v>0.49</v>
      </c>
      <c r="L89" s="3">
        <v>0.09</v>
      </c>
      <c r="M89" s="3">
        <v>0.45</v>
      </c>
      <c r="N89" s="3">
        <v>0.5</v>
      </c>
      <c r="O89" s="3">
        <v>143</v>
      </c>
      <c r="P89" s="3">
        <v>2391</v>
      </c>
      <c r="Q89" s="10">
        <f t="shared" ca="1" si="3"/>
        <v>42487</v>
      </c>
      <c r="R89" s="10">
        <f t="shared" ca="1" si="4"/>
        <v>42510</v>
      </c>
      <c r="S89" s="11">
        <f t="shared" ca="1" si="5"/>
        <v>7.1428571428571425E-2</v>
      </c>
      <c r="T89" s="10"/>
    </row>
    <row r="90" spans="2:20" x14ac:dyDescent="0.2">
      <c r="B90" s="5" t="s">
        <v>1295</v>
      </c>
      <c r="C90" s="3" t="s">
        <v>9</v>
      </c>
      <c r="D90" s="3" t="s">
        <v>9</v>
      </c>
      <c r="E90" s="3" t="s">
        <v>9</v>
      </c>
      <c r="F90" s="3" t="s">
        <v>9</v>
      </c>
      <c r="G90" s="3" t="s">
        <v>9</v>
      </c>
      <c r="H90" s="3" t="s">
        <v>9</v>
      </c>
      <c r="I90" s="3">
        <v>136</v>
      </c>
      <c r="J90" s="5" t="s">
        <v>1296</v>
      </c>
      <c r="K90" s="3">
        <v>0.7</v>
      </c>
      <c r="L90" s="3">
        <v>0.41</v>
      </c>
      <c r="M90" s="3">
        <v>0.54</v>
      </c>
      <c r="N90" s="3">
        <v>0.6</v>
      </c>
      <c r="O90" s="3">
        <v>5</v>
      </c>
      <c r="P90" s="3">
        <v>104</v>
      </c>
      <c r="Q90" s="10">
        <f t="shared" ca="1" si="3"/>
        <v>42487</v>
      </c>
      <c r="R90" s="10">
        <f t="shared" ca="1" si="4"/>
        <v>42510</v>
      </c>
      <c r="S90" s="11">
        <f t="shared" ca="1" si="5"/>
        <v>7.1428571428571425E-2</v>
      </c>
      <c r="T90" s="10"/>
    </row>
    <row r="91" spans="2:20" x14ac:dyDescent="0.2">
      <c r="B91" s="5" t="s">
        <v>1297</v>
      </c>
      <c r="C91" s="3">
        <v>6.43</v>
      </c>
      <c r="D91" s="3">
        <v>0</v>
      </c>
      <c r="E91" s="3">
        <v>10.4</v>
      </c>
      <c r="F91" s="3">
        <v>12</v>
      </c>
      <c r="G91" s="3">
        <v>8</v>
      </c>
      <c r="H91" s="3">
        <v>5</v>
      </c>
      <c r="I91" s="3">
        <v>137</v>
      </c>
      <c r="J91" s="5" t="s">
        <v>1298</v>
      </c>
      <c r="K91" s="3">
        <v>0.67</v>
      </c>
      <c r="L91" s="3">
        <v>0.24</v>
      </c>
      <c r="M91" s="3">
        <v>0.65</v>
      </c>
      <c r="N91" s="3">
        <v>0.71</v>
      </c>
      <c r="O91" s="3">
        <v>35</v>
      </c>
      <c r="P91" s="3">
        <v>250</v>
      </c>
      <c r="Q91" s="10">
        <f t="shared" ca="1" si="3"/>
        <v>42487</v>
      </c>
      <c r="R91" s="10">
        <f t="shared" ca="1" si="4"/>
        <v>42510</v>
      </c>
      <c r="S91" s="11">
        <f t="shared" ca="1" si="5"/>
        <v>7.1428571428571425E-2</v>
      </c>
      <c r="T91" s="10"/>
    </row>
    <row r="92" spans="2:20" x14ac:dyDescent="0.2">
      <c r="B92" s="5" t="s">
        <v>1299</v>
      </c>
      <c r="C92" s="3">
        <v>7</v>
      </c>
      <c r="D92" s="3">
        <v>0</v>
      </c>
      <c r="E92" s="3">
        <v>9.6</v>
      </c>
      <c r="F92" s="3">
        <v>10.95</v>
      </c>
      <c r="G92" s="3">
        <v>1</v>
      </c>
      <c r="H92" s="3">
        <v>1</v>
      </c>
      <c r="I92" s="3">
        <v>138</v>
      </c>
      <c r="J92" s="5" t="s">
        <v>1300</v>
      </c>
      <c r="K92" s="3">
        <v>0.77</v>
      </c>
      <c r="L92" s="3">
        <v>0.1</v>
      </c>
      <c r="M92" s="3">
        <v>0.78</v>
      </c>
      <c r="N92" s="3">
        <v>0.84</v>
      </c>
      <c r="O92" s="3">
        <v>20</v>
      </c>
      <c r="P92" s="3">
        <v>265</v>
      </c>
      <c r="Q92" s="10">
        <f t="shared" ca="1" si="3"/>
        <v>42487</v>
      </c>
      <c r="R92" s="10">
        <f t="shared" ca="1" si="4"/>
        <v>42510</v>
      </c>
      <c r="S92" s="11">
        <f t="shared" ca="1" si="5"/>
        <v>7.1428571428571425E-2</v>
      </c>
      <c r="T92" s="10"/>
    </row>
    <row r="93" spans="2:20" x14ac:dyDescent="0.2">
      <c r="B93" s="5" t="s">
        <v>1301</v>
      </c>
      <c r="C93" s="3">
        <v>5.14</v>
      </c>
      <c r="D93" s="3">
        <v>0</v>
      </c>
      <c r="E93" s="3">
        <v>8.8000000000000007</v>
      </c>
      <c r="F93" s="3">
        <v>9.9499999999999993</v>
      </c>
      <c r="G93" s="3">
        <v>30</v>
      </c>
      <c r="H93" s="3">
        <v>30</v>
      </c>
      <c r="I93" s="3">
        <v>139</v>
      </c>
      <c r="J93" s="5" t="s">
        <v>1302</v>
      </c>
      <c r="K93" s="3">
        <v>1.06</v>
      </c>
      <c r="L93" s="3">
        <v>0.44</v>
      </c>
      <c r="M93" s="3">
        <v>0.94</v>
      </c>
      <c r="N93" s="3">
        <v>1</v>
      </c>
      <c r="O93" s="3">
        <v>9</v>
      </c>
      <c r="P93" s="3">
        <v>425</v>
      </c>
      <c r="Q93" s="10">
        <f t="shared" ca="1" si="3"/>
        <v>42487</v>
      </c>
      <c r="R93" s="10">
        <f t="shared" ca="1" si="4"/>
        <v>42510</v>
      </c>
      <c r="S93" s="11">
        <f t="shared" ca="1" si="5"/>
        <v>7.1428571428571425E-2</v>
      </c>
      <c r="T93" s="10"/>
    </row>
    <row r="94" spans="2:20" x14ac:dyDescent="0.2">
      <c r="B94" s="5" t="s">
        <v>1303</v>
      </c>
      <c r="C94" s="3">
        <v>6.35</v>
      </c>
      <c r="D94" s="3">
        <v>-1.08</v>
      </c>
      <c r="E94" s="3">
        <v>6.25</v>
      </c>
      <c r="F94" s="3">
        <v>6.5</v>
      </c>
      <c r="G94" s="3">
        <v>94</v>
      </c>
      <c r="H94" s="3">
        <v>2768</v>
      </c>
      <c r="I94" s="3">
        <v>140</v>
      </c>
      <c r="J94" s="5" t="s">
        <v>1304</v>
      </c>
      <c r="K94" s="3">
        <v>1.22</v>
      </c>
      <c r="L94" s="3">
        <v>0.25</v>
      </c>
      <c r="M94" s="3">
        <v>1.1399999999999999</v>
      </c>
      <c r="N94" s="3">
        <v>1.21</v>
      </c>
      <c r="O94" s="3">
        <v>263</v>
      </c>
      <c r="P94" s="3">
        <v>3704</v>
      </c>
      <c r="Q94" s="10">
        <f t="shared" ca="1" si="3"/>
        <v>42487</v>
      </c>
      <c r="R94" s="10">
        <f t="shared" ca="1" si="4"/>
        <v>42510</v>
      </c>
      <c r="S94" s="11">
        <f t="shared" ca="1" si="5"/>
        <v>7.1428571428571425E-2</v>
      </c>
      <c r="T94" s="10"/>
    </row>
    <row r="95" spans="2:20" x14ac:dyDescent="0.2">
      <c r="B95" s="5" t="s">
        <v>1305</v>
      </c>
      <c r="C95" s="3">
        <v>4.45</v>
      </c>
      <c r="D95" s="3">
        <v>-3.6</v>
      </c>
      <c r="E95" s="3">
        <v>5.35</v>
      </c>
      <c r="F95" s="3">
        <v>5.6</v>
      </c>
      <c r="G95" s="3">
        <v>6</v>
      </c>
      <c r="H95" s="3">
        <v>85</v>
      </c>
      <c r="I95" s="3">
        <v>141</v>
      </c>
      <c r="J95" s="5" t="s">
        <v>1306</v>
      </c>
      <c r="K95" s="3">
        <v>1.35</v>
      </c>
      <c r="L95" s="3">
        <v>0.2</v>
      </c>
      <c r="M95" s="3">
        <v>1.37</v>
      </c>
      <c r="N95" s="3">
        <v>1.46</v>
      </c>
      <c r="O95" s="3">
        <v>44</v>
      </c>
      <c r="P95" s="3">
        <v>254</v>
      </c>
      <c r="Q95" s="10">
        <f t="shared" ca="1" si="3"/>
        <v>42487</v>
      </c>
      <c r="R95" s="10">
        <f t="shared" ca="1" si="4"/>
        <v>42510</v>
      </c>
      <c r="S95" s="11">
        <f t="shared" ca="1" si="5"/>
        <v>7.1428571428571425E-2</v>
      </c>
      <c r="T95" s="10"/>
    </row>
    <row r="96" spans="2:20" x14ac:dyDescent="0.2">
      <c r="B96" s="5" t="s">
        <v>1307</v>
      </c>
      <c r="C96" s="3">
        <v>4.6500000000000004</v>
      </c>
      <c r="D96" s="3">
        <v>-1.8</v>
      </c>
      <c r="E96" s="3">
        <v>4.55</v>
      </c>
      <c r="F96" s="3">
        <v>4.8</v>
      </c>
      <c r="G96" s="3">
        <v>144</v>
      </c>
      <c r="H96" s="3">
        <v>364</v>
      </c>
      <c r="I96" s="3">
        <v>142</v>
      </c>
      <c r="J96" s="5" t="s">
        <v>1308</v>
      </c>
      <c r="K96" s="3">
        <v>1.76</v>
      </c>
      <c r="L96" s="3">
        <v>0.39</v>
      </c>
      <c r="M96" s="3">
        <v>1.66</v>
      </c>
      <c r="N96" s="3">
        <v>1.75</v>
      </c>
      <c r="O96" s="3">
        <v>367</v>
      </c>
      <c r="P96" s="3">
        <v>379</v>
      </c>
      <c r="Q96" s="10">
        <f t="shared" ca="1" si="3"/>
        <v>42487</v>
      </c>
      <c r="R96" s="10">
        <f t="shared" ca="1" si="4"/>
        <v>42510</v>
      </c>
      <c r="S96" s="11">
        <f t="shared" ca="1" si="5"/>
        <v>7.1428571428571425E-2</v>
      </c>
      <c r="T96" s="10"/>
    </row>
    <row r="97" spans="2:20" x14ac:dyDescent="0.2">
      <c r="B97" s="5" t="s">
        <v>1309</v>
      </c>
      <c r="C97" s="3">
        <v>3.79</v>
      </c>
      <c r="D97" s="3">
        <v>-1.51</v>
      </c>
      <c r="E97" s="3">
        <v>3.8</v>
      </c>
      <c r="F97" s="3">
        <v>4</v>
      </c>
      <c r="G97" s="3">
        <v>35</v>
      </c>
      <c r="H97" s="3">
        <v>197</v>
      </c>
      <c r="I97" s="3">
        <v>143</v>
      </c>
      <c r="J97" s="5" t="s">
        <v>1310</v>
      </c>
      <c r="K97" s="3">
        <v>2.0499999999999998</v>
      </c>
      <c r="L97" s="3">
        <v>0.4</v>
      </c>
      <c r="M97" s="3">
        <v>1.98</v>
      </c>
      <c r="N97" s="3">
        <v>2.0699999999999998</v>
      </c>
      <c r="O97" s="3">
        <v>82</v>
      </c>
      <c r="P97" s="3">
        <v>400</v>
      </c>
      <c r="Q97" s="10">
        <f t="shared" ca="1" si="3"/>
        <v>42487</v>
      </c>
      <c r="R97" s="10">
        <f t="shared" ca="1" si="4"/>
        <v>42510</v>
      </c>
      <c r="S97" s="11">
        <f t="shared" ca="1" si="5"/>
        <v>7.1428571428571425E-2</v>
      </c>
      <c r="T97" s="10"/>
    </row>
    <row r="98" spans="2:20" x14ac:dyDescent="0.2">
      <c r="B98" s="5" t="s">
        <v>1311</v>
      </c>
      <c r="C98" s="3">
        <v>3.25</v>
      </c>
      <c r="D98" s="3">
        <v>-0.6</v>
      </c>
      <c r="E98" s="3">
        <v>3.2</v>
      </c>
      <c r="F98" s="3">
        <v>3.35</v>
      </c>
      <c r="G98" s="3">
        <v>41</v>
      </c>
      <c r="H98" s="3">
        <v>440</v>
      </c>
      <c r="I98" s="3">
        <v>144</v>
      </c>
      <c r="J98" s="5" t="s">
        <v>1312</v>
      </c>
      <c r="K98" s="3">
        <v>2.4700000000000002</v>
      </c>
      <c r="L98" s="3">
        <v>0.49</v>
      </c>
      <c r="M98" s="3">
        <v>2.39</v>
      </c>
      <c r="N98" s="3">
        <v>2.46</v>
      </c>
      <c r="O98" s="3">
        <v>381</v>
      </c>
      <c r="P98" s="3">
        <v>493</v>
      </c>
      <c r="Q98" s="10">
        <f t="shared" ca="1" si="3"/>
        <v>42487</v>
      </c>
      <c r="R98" s="10">
        <f t="shared" ca="1" si="4"/>
        <v>42510</v>
      </c>
      <c r="S98" s="11">
        <f t="shared" ca="1" si="5"/>
        <v>7.1428571428571425E-2</v>
      </c>
      <c r="T98" s="10"/>
    </row>
    <row r="99" spans="2:20" x14ac:dyDescent="0.2">
      <c r="B99" s="5" t="s">
        <v>1313</v>
      </c>
      <c r="C99" s="3">
        <v>2.64</v>
      </c>
      <c r="D99" s="3">
        <v>-0.54</v>
      </c>
      <c r="E99" s="3">
        <v>2.6</v>
      </c>
      <c r="F99" s="3">
        <v>2.7</v>
      </c>
      <c r="G99" s="3">
        <v>479</v>
      </c>
      <c r="H99" s="3">
        <v>4873</v>
      </c>
      <c r="I99" s="3">
        <v>145</v>
      </c>
      <c r="J99" s="5" t="s">
        <v>1314</v>
      </c>
      <c r="K99" s="3">
        <v>2.87</v>
      </c>
      <c r="L99" s="3">
        <v>0.4</v>
      </c>
      <c r="M99" s="3">
        <v>2.82</v>
      </c>
      <c r="N99" s="3">
        <v>2.92</v>
      </c>
      <c r="O99" s="3">
        <v>613</v>
      </c>
      <c r="P99" s="3">
        <v>3742</v>
      </c>
      <c r="Q99" s="10">
        <f t="shared" ca="1" si="3"/>
        <v>42487</v>
      </c>
      <c r="R99" s="10">
        <f t="shared" ca="1" si="4"/>
        <v>42510</v>
      </c>
      <c r="S99" s="11">
        <f t="shared" ca="1" si="5"/>
        <v>7.1428571428571425E-2</v>
      </c>
      <c r="T99" s="10"/>
    </row>
    <row r="100" spans="2:20" x14ac:dyDescent="0.2">
      <c r="B100" s="5" t="s">
        <v>1315</v>
      </c>
      <c r="C100" s="3">
        <v>2.2200000000000002</v>
      </c>
      <c r="D100" s="3">
        <v>-0.37</v>
      </c>
      <c r="E100" s="3">
        <v>2.08</v>
      </c>
      <c r="F100" s="3">
        <v>2.2000000000000002</v>
      </c>
      <c r="G100" s="3">
        <v>220</v>
      </c>
      <c r="H100" s="3">
        <v>862</v>
      </c>
      <c r="I100" s="3">
        <v>146</v>
      </c>
      <c r="J100" s="5" t="s">
        <v>1316</v>
      </c>
      <c r="K100" s="3">
        <v>3.75</v>
      </c>
      <c r="L100" s="3">
        <v>0.93</v>
      </c>
      <c r="M100" s="3">
        <v>3.3</v>
      </c>
      <c r="N100" s="3">
        <v>3.5</v>
      </c>
      <c r="O100" s="3">
        <v>41</v>
      </c>
      <c r="P100" s="3">
        <v>514</v>
      </c>
      <c r="Q100" s="10">
        <f t="shared" ca="1" si="3"/>
        <v>42487</v>
      </c>
      <c r="R100" s="10">
        <f t="shared" ca="1" si="4"/>
        <v>42510</v>
      </c>
      <c r="S100" s="11">
        <f t="shared" ca="1" si="5"/>
        <v>7.1428571428571425E-2</v>
      </c>
      <c r="T100" s="10"/>
    </row>
    <row r="101" spans="2:20" x14ac:dyDescent="0.2">
      <c r="B101" s="5" t="s">
        <v>1317</v>
      </c>
      <c r="C101" s="3">
        <v>1.63</v>
      </c>
      <c r="D101" s="3">
        <v>-0.54</v>
      </c>
      <c r="E101" s="3">
        <v>1.61</v>
      </c>
      <c r="F101" s="3">
        <v>1.72</v>
      </c>
      <c r="G101" s="3">
        <v>418</v>
      </c>
      <c r="H101" s="3">
        <v>652</v>
      </c>
      <c r="I101" s="3">
        <v>147</v>
      </c>
      <c r="J101" s="5" t="s">
        <v>1318</v>
      </c>
      <c r="K101" s="3">
        <v>3.92</v>
      </c>
      <c r="L101" s="3">
        <v>0.42</v>
      </c>
      <c r="M101" s="3">
        <v>3.9</v>
      </c>
      <c r="N101" s="3">
        <v>4.0999999999999996</v>
      </c>
      <c r="O101" s="3">
        <v>33</v>
      </c>
      <c r="P101" s="3">
        <v>889</v>
      </c>
      <c r="Q101" s="10">
        <f t="shared" ca="1" si="3"/>
        <v>42487</v>
      </c>
      <c r="R101" s="10">
        <f t="shared" ca="1" si="4"/>
        <v>42510</v>
      </c>
      <c r="S101" s="11">
        <f t="shared" ca="1" si="5"/>
        <v>7.1428571428571425E-2</v>
      </c>
      <c r="T101" s="10"/>
    </row>
    <row r="102" spans="2:20" x14ac:dyDescent="0.2">
      <c r="B102" s="5" t="s">
        <v>1319</v>
      </c>
      <c r="C102" s="3">
        <v>1.4</v>
      </c>
      <c r="D102" s="3">
        <v>-0.35</v>
      </c>
      <c r="E102" s="3">
        <v>1.27</v>
      </c>
      <c r="F102" s="3">
        <v>1.35</v>
      </c>
      <c r="G102" s="3">
        <v>857</v>
      </c>
      <c r="H102" s="3">
        <v>646</v>
      </c>
      <c r="I102" s="3">
        <v>148</v>
      </c>
      <c r="J102" s="5" t="s">
        <v>1320</v>
      </c>
      <c r="K102" s="3">
        <v>4.8600000000000003</v>
      </c>
      <c r="L102" s="3">
        <v>0.81</v>
      </c>
      <c r="M102" s="3">
        <v>4.55</v>
      </c>
      <c r="N102" s="3">
        <v>4.75</v>
      </c>
      <c r="O102" s="3">
        <v>62</v>
      </c>
      <c r="P102" s="3">
        <v>1862</v>
      </c>
      <c r="Q102" s="10">
        <f t="shared" ca="1" si="3"/>
        <v>42487</v>
      </c>
      <c r="R102" s="10">
        <f t="shared" ca="1" si="4"/>
        <v>42510</v>
      </c>
      <c r="S102" s="11">
        <f t="shared" ca="1" si="5"/>
        <v>7.1428571428571425E-2</v>
      </c>
      <c r="T102" s="10"/>
    </row>
    <row r="103" spans="2:20" x14ac:dyDescent="0.2">
      <c r="B103" s="5" t="s">
        <v>1321</v>
      </c>
      <c r="C103" s="3">
        <v>0.99</v>
      </c>
      <c r="D103" s="3">
        <v>-0.37</v>
      </c>
      <c r="E103" s="3">
        <v>0.97</v>
      </c>
      <c r="F103" s="3">
        <v>1.04</v>
      </c>
      <c r="G103" s="3">
        <v>179</v>
      </c>
      <c r="H103" s="3">
        <v>404</v>
      </c>
      <c r="I103" s="3">
        <v>149</v>
      </c>
      <c r="J103" s="5" t="s">
        <v>1322</v>
      </c>
      <c r="K103" s="3">
        <v>5.28</v>
      </c>
      <c r="L103" s="3">
        <v>0.84</v>
      </c>
      <c r="M103" s="3">
        <v>5.25</v>
      </c>
      <c r="N103" s="3">
        <v>5.5</v>
      </c>
      <c r="O103" s="3">
        <v>88</v>
      </c>
      <c r="P103" s="3">
        <v>385</v>
      </c>
      <c r="Q103" s="10">
        <f t="shared" ca="1" si="3"/>
        <v>42487</v>
      </c>
      <c r="R103" s="10">
        <f t="shared" ca="1" si="4"/>
        <v>42510</v>
      </c>
      <c r="S103" s="11">
        <f t="shared" ca="1" si="5"/>
        <v>7.1428571428571425E-2</v>
      </c>
      <c r="T103" s="10"/>
    </row>
    <row r="104" spans="2:20" x14ac:dyDescent="0.2">
      <c r="B104" s="5" t="s">
        <v>1323</v>
      </c>
      <c r="C104" s="3">
        <v>0.74</v>
      </c>
      <c r="D104" s="3">
        <v>-0.28000000000000003</v>
      </c>
      <c r="E104" s="3">
        <v>0.74</v>
      </c>
      <c r="F104" s="3">
        <v>0.8</v>
      </c>
      <c r="G104" s="3">
        <v>499</v>
      </c>
      <c r="H104" s="3">
        <v>5507</v>
      </c>
      <c r="I104" s="3">
        <v>150</v>
      </c>
      <c r="J104" s="5" t="s">
        <v>1324</v>
      </c>
      <c r="K104" s="3">
        <v>6.3</v>
      </c>
      <c r="L104" s="3">
        <v>0.9</v>
      </c>
      <c r="M104" s="3">
        <v>6</v>
      </c>
      <c r="N104" s="3">
        <v>6.25</v>
      </c>
      <c r="O104" s="3">
        <v>169</v>
      </c>
      <c r="P104" s="3">
        <v>3109</v>
      </c>
      <c r="Q104" s="10">
        <f t="shared" ca="1" si="3"/>
        <v>42487</v>
      </c>
      <c r="R104" s="10">
        <f t="shared" ca="1" si="4"/>
        <v>42510</v>
      </c>
      <c r="S104" s="11">
        <f t="shared" ca="1" si="5"/>
        <v>7.1428571428571425E-2</v>
      </c>
      <c r="T104" s="10"/>
    </row>
    <row r="105" spans="2:20" x14ac:dyDescent="0.2">
      <c r="B105" s="5" t="s">
        <v>1325</v>
      </c>
      <c r="C105" s="3">
        <v>0.36</v>
      </c>
      <c r="D105" s="3">
        <v>-0.12</v>
      </c>
      <c r="E105" s="3">
        <v>0.35</v>
      </c>
      <c r="F105" s="3">
        <v>0.4</v>
      </c>
      <c r="G105" s="3">
        <v>160</v>
      </c>
      <c r="H105" s="3">
        <v>897</v>
      </c>
      <c r="I105" s="3">
        <v>152.5</v>
      </c>
      <c r="J105" s="5" t="s">
        <v>1326</v>
      </c>
      <c r="K105" s="3">
        <v>5.85</v>
      </c>
      <c r="L105" s="3">
        <v>0</v>
      </c>
      <c r="M105" s="3">
        <v>7.85</v>
      </c>
      <c r="N105" s="3">
        <v>9.6</v>
      </c>
      <c r="O105" s="3">
        <v>12</v>
      </c>
      <c r="P105" s="3">
        <v>717</v>
      </c>
      <c r="Q105" s="10">
        <f t="shared" ca="1" si="3"/>
        <v>42487</v>
      </c>
      <c r="R105" s="10">
        <f t="shared" ca="1" si="4"/>
        <v>42510</v>
      </c>
      <c r="S105" s="11">
        <f t="shared" ca="1" si="5"/>
        <v>7.1428571428571425E-2</v>
      </c>
      <c r="T105" s="10"/>
    </row>
    <row r="106" spans="2:20" x14ac:dyDescent="0.2">
      <c r="B106" s="5" t="s">
        <v>1327</v>
      </c>
      <c r="C106" s="3">
        <v>0.17</v>
      </c>
      <c r="D106" s="3">
        <v>-0.06</v>
      </c>
      <c r="E106" s="3">
        <v>0.18</v>
      </c>
      <c r="F106" s="3">
        <v>0.2</v>
      </c>
      <c r="G106" s="3">
        <v>1280</v>
      </c>
      <c r="H106" s="3">
        <v>8781</v>
      </c>
      <c r="I106" s="3">
        <v>155</v>
      </c>
      <c r="J106" s="5" t="s">
        <v>1328</v>
      </c>
      <c r="K106" s="3">
        <v>10.65</v>
      </c>
      <c r="L106" s="3">
        <v>0.85</v>
      </c>
      <c r="M106" s="3">
        <v>10.1</v>
      </c>
      <c r="N106" s="3">
        <v>11.8</v>
      </c>
      <c r="O106" s="3">
        <v>7</v>
      </c>
      <c r="P106" s="3">
        <v>533</v>
      </c>
      <c r="Q106" s="10">
        <f t="shared" ca="1" si="3"/>
        <v>42487</v>
      </c>
      <c r="R106" s="10">
        <f t="shared" ca="1" si="4"/>
        <v>42510</v>
      </c>
      <c r="S106" s="11">
        <f t="shared" ca="1" si="5"/>
        <v>7.1428571428571425E-2</v>
      </c>
      <c r="T106" s="10"/>
    </row>
    <row r="107" spans="2:20" x14ac:dyDescent="0.2">
      <c r="B107" s="5" t="s">
        <v>1329</v>
      </c>
      <c r="C107" s="3">
        <v>0.1</v>
      </c>
      <c r="D107" s="3">
        <v>-0.02</v>
      </c>
      <c r="E107" s="3">
        <v>0.05</v>
      </c>
      <c r="F107" s="3">
        <v>0.11</v>
      </c>
      <c r="G107" s="3">
        <v>13</v>
      </c>
      <c r="H107" s="3">
        <v>360</v>
      </c>
      <c r="I107" s="3">
        <v>157.5</v>
      </c>
      <c r="J107" s="5" t="s">
        <v>1330</v>
      </c>
      <c r="K107" s="3">
        <v>14.36</v>
      </c>
      <c r="L107" s="3">
        <v>0</v>
      </c>
      <c r="M107" s="3">
        <v>9.9499999999999993</v>
      </c>
      <c r="N107" s="3">
        <v>11</v>
      </c>
      <c r="O107" s="3">
        <v>0</v>
      </c>
      <c r="P107" s="3">
        <v>2</v>
      </c>
      <c r="Q107" s="10">
        <f t="shared" ca="1" si="3"/>
        <v>42487</v>
      </c>
      <c r="R107" s="10">
        <f t="shared" ca="1" si="4"/>
        <v>42510</v>
      </c>
      <c r="S107" s="11">
        <f t="shared" ca="1" si="5"/>
        <v>7.1428571428571425E-2</v>
      </c>
      <c r="T107" s="10"/>
    </row>
    <row r="108" spans="2:20" x14ac:dyDescent="0.2">
      <c r="B108" s="5" t="s">
        <v>1331</v>
      </c>
      <c r="C108" s="3">
        <v>0.05</v>
      </c>
      <c r="D108" s="3">
        <v>-0.03</v>
      </c>
      <c r="E108" s="3">
        <v>0.03</v>
      </c>
      <c r="F108" s="3">
        <v>0.05</v>
      </c>
      <c r="G108" s="3">
        <v>68</v>
      </c>
      <c r="H108" s="3">
        <v>4073</v>
      </c>
      <c r="I108" s="3">
        <v>160</v>
      </c>
      <c r="J108" s="5" t="s">
        <v>1332</v>
      </c>
      <c r="K108" s="3">
        <v>15.5</v>
      </c>
      <c r="L108" s="3">
        <v>3.05</v>
      </c>
      <c r="M108" s="3">
        <v>15</v>
      </c>
      <c r="N108" s="3">
        <v>16.25</v>
      </c>
      <c r="O108" s="3">
        <v>100</v>
      </c>
      <c r="P108" s="3">
        <v>248</v>
      </c>
      <c r="Q108" s="10">
        <f t="shared" ca="1" si="3"/>
        <v>42487</v>
      </c>
      <c r="R108" s="10">
        <f t="shared" ca="1" si="4"/>
        <v>42510</v>
      </c>
      <c r="S108" s="11">
        <f t="shared" ca="1" si="5"/>
        <v>7.1428571428571425E-2</v>
      </c>
      <c r="T108" s="10"/>
    </row>
    <row r="109" spans="2:20" x14ac:dyDescent="0.2">
      <c r="B109" s="5" t="s">
        <v>1333</v>
      </c>
      <c r="C109" s="3">
        <v>0.06</v>
      </c>
      <c r="D109" s="3">
        <v>0</v>
      </c>
      <c r="E109" s="3">
        <v>0</v>
      </c>
      <c r="F109" s="3">
        <v>0.05</v>
      </c>
      <c r="G109" s="3">
        <v>55</v>
      </c>
      <c r="H109" s="3">
        <v>160</v>
      </c>
      <c r="I109" s="3">
        <v>162.5</v>
      </c>
      <c r="J109" s="5" t="s">
        <v>1334</v>
      </c>
      <c r="K109" s="3" t="s">
        <v>9</v>
      </c>
      <c r="L109" s="3" t="s">
        <v>9</v>
      </c>
      <c r="M109" s="3" t="s">
        <v>9</v>
      </c>
      <c r="N109" s="3" t="s">
        <v>9</v>
      </c>
      <c r="O109" s="3" t="s">
        <v>9</v>
      </c>
      <c r="P109" s="3" t="s">
        <v>9</v>
      </c>
      <c r="Q109" s="10">
        <f t="shared" ca="1" si="3"/>
        <v>42487</v>
      </c>
      <c r="R109" s="10">
        <f t="shared" ca="1" si="4"/>
        <v>42510</v>
      </c>
      <c r="S109" s="11">
        <f t="shared" ca="1" si="5"/>
        <v>7.1428571428571425E-2</v>
      </c>
      <c r="T109" s="10"/>
    </row>
    <row r="110" spans="2:20" x14ac:dyDescent="0.2">
      <c r="B110" s="5" t="s">
        <v>1335</v>
      </c>
      <c r="C110" s="3">
        <v>0.03</v>
      </c>
      <c r="D110" s="3">
        <v>0</v>
      </c>
      <c r="E110" s="3">
        <v>0</v>
      </c>
      <c r="F110" s="3">
        <v>7.0000000000000007E-2</v>
      </c>
      <c r="G110" s="3">
        <v>5</v>
      </c>
      <c r="H110" s="3">
        <v>1443</v>
      </c>
      <c r="I110" s="3">
        <v>165</v>
      </c>
      <c r="J110" s="5" t="s">
        <v>1336</v>
      </c>
      <c r="K110" s="3">
        <v>20.62</v>
      </c>
      <c r="L110" s="3">
        <v>0</v>
      </c>
      <c r="M110" s="3">
        <v>16.7</v>
      </c>
      <c r="N110" s="3">
        <v>19.149999999999999</v>
      </c>
      <c r="O110" s="3">
        <v>5</v>
      </c>
      <c r="P110" s="3">
        <v>67</v>
      </c>
      <c r="Q110" s="10">
        <f t="shared" ca="1" si="3"/>
        <v>42487</v>
      </c>
      <c r="R110" s="10">
        <f t="shared" ca="1" si="4"/>
        <v>42510</v>
      </c>
      <c r="S110" s="11">
        <f t="shared" ca="1" si="5"/>
        <v>7.1428571428571425E-2</v>
      </c>
      <c r="T110" s="10"/>
    </row>
    <row r="111" spans="2:20" x14ac:dyDescent="0.2">
      <c r="B111" s="5" t="s">
        <v>1337</v>
      </c>
      <c r="C111" s="3">
        <v>0.02</v>
      </c>
      <c r="D111" s="3">
        <v>0</v>
      </c>
      <c r="E111" s="3">
        <v>0</v>
      </c>
      <c r="F111" s="3">
        <v>7.0000000000000007E-2</v>
      </c>
      <c r="G111" s="3">
        <v>5</v>
      </c>
      <c r="H111" s="3">
        <v>39</v>
      </c>
      <c r="I111" s="3">
        <v>167.5</v>
      </c>
      <c r="J111" s="5" t="s">
        <v>1338</v>
      </c>
      <c r="K111" s="3" t="s">
        <v>9</v>
      </c>
      <c r="L111" s="3" t="s">
        <v>9</v>
      </c>
      <c r="M111" s="3" t="s">
        <v>9</v>
      </c>
      <c r="N111" s="3" t="s">
        <v>9</v>
      </c>
      <c r="O111" s="3" t="s">
        <v>9</v>
      </c>
      <c r="P111" s="3" t="s">
        <v>9</v>
      </c>
      <c r="Q111" s="10">
        <f t="shared" ca="1" si="3"/>
        <v>42487</v>
      </c>
      <c r="R111" s="10">
        <f t="shared" ca="1" si="4"/>
        <v>42510</v>
      </c>
      <c r="S111" s="11">
        <f t="shared" ca="1" si="5"/>
        <v>7.1428571428571425E-2</v>
      </c>
      <c r="T111" s="10"/>
    </row>
    <row r="112" spans="2:20" x14ac:dyDescent="0.2">
      <c r="B112" s="5" t="s">
        <v>1339</v>
      </c>
      <c r="C112" s="3">
        <v>0.01</v>
      </c>
      <c r="D112" s="3">
        <v>-0.02</v>
      </c>
      <c r="E112" s="3">
        <v>0</v>
      </c>
      <c r="F112" s="3">
        <v>0.05</v>
      </c>
      <c r="G112" s="3">
        <v>205</v>
      </c>
      <c r="H112" s="3">
        <v>444</v>
      </c>
      <c r="I112" s="3">
        <v>170</v>
      </c>
      <c r="J112" s="5" t="s">
        <v>1340</v>
      </c>
      <c r="K112" s="3">
        <v>20.12</v>
      </c>
      <c r="L112" s="3">
        <v>0</v>
      </c>
      <c r="M112" s="3">
        <v>20.8</v>
      </c>
      <c r="N112" s="3">
        <v>24.4</v>
      </c>
      <c r="O112" s="3">
        <v>0</v>
      </c>
      <c r="P112" s="3">
        <v>1</v>
      </c>
      <c r="Q112" s="10">
        <f t="shared" ca="1" si="3"/>
        <v>42487</v>
      </c>
      <c r="R112" s="10">
        <f t="shared" ca="1" si="4"/>
        <v>42510</v>
      </c>
      <c r="S112" s="11">
        <f t="shared" ca="1" si="5"/>
        <v>7.1428571428571425E-2</v>
      </c>
      <c r="T112" s="10"/>
    </row>
    <row r="113" spans="2:20" x14ac:dyDescent="0.2">
      <c r="B113" s="5" t="s">
        <v>1341</v>
      </c>
      <c r="C113" s="3">
        <v>0.04</v>
      </c>
      <c r="D113" s="3">
        <v>0</v>
      </c>
      <c r="E113" s="3">
        <v>0</v>
      </c>
      <c r="F113" s="3">
        <v>7.0000000000000007E-2</v>
      </c>
      <c r="G113" s="3">
        <v>5</v>
      </c>
      <c r="H113" s="3">
        <v>16</v>
      </c>
      <c r="I113" s="3">
        <v>172.5</v>
      </c>
      <c r="J113" s="5" t="s">
        <v>1342</v>
      </c>
      <c r="K113" s="3" t="s">
        <v>9</v>
      </c>
      <c r="L113" s="3" t="s">
        <v>9</v>
      </c>
      <c r="M113" s="3" t="s">
        <v>9</v>
      </c>
      <c r="N113" s="3" t="s">
        <v>9</v>
      </c>
      <c r="O113" s="3" t="s">
        <v>9</v>
      </c>
      <c r="P113" s="3" t="s">
        <v>9</v>
      </c>
      <c r="Q113" s="10">
        <f t="shared" ca="1" si="3"/>
        <v>42487</v>
      </c>
      <c r="R113" s="10">
        <f t="shared" ca="1" si="4"/>
        <v>42510</v>
      </c>
      <c r="S113" s="11">
        <f t="shared" ca="1" si="5"/>
        <v>7.1428571428571425E-2</v>
      </c>
      <c r="T113" s="10"/>
    </row>
    <row r="114" spans="2:20" x14ac:dyDescent="0.2">
      <c r="B114" s="5" t="s">
        <v>1343</v>
      </c>
      <c r="C114" s="3">
        <v>0.02</v>
      </c>
      <c r="D114" s="3">
        <v>0</v>
      </c>
      <c r="E114" s="3">
        <v>0</v>
      </c>
      <c r="F114" s="3">
        <v>7.0000000000000007E-2</v>
      </c>
      <c r="G114" s="3">
        <v>12</v>
      </c>
      <c r="H114" s="3">
        <v>280</v>
      </c>
      <c r="I114" s="3">
        <v>175</v>
      </c>
      <c r="J114" s="5" t="s">
        <v>1344</v>
      </c>
      <c r="K114" s="3">
        <v>28.15</v>
      </c>
      <c r="L114" s="3">
        <v>0</v>
      </c>
      <c r="M114" s="3">
        <v>27.7</v>
      </c>
      <c r="N114" s="3">
        <v>30.2</v>
      </c>
      <c r="O114" s="3">
        <v>2</v>
      </c>
      <c r="P114" s="3">
        <v>0</v>
      </c>
      <c r="Q114" s="10">
        <f t="shared" ca="1" si="3"/>
        <v>42487</v>
      </c>
      <c r="R114" s="10">
        <f t="shared" ca="1" si="4"/>
        <v>42510</v>
      </c>
      <c r="S114" s="11">
        <f t="shared" ca="1" si="5"/>
        <v>7.1428571428571425E-2</v>
      </c>
      <c r="T114" s="10"/>
    </row>
    <row r="115" spans="2:20" x14ac:dyDescent="0.2">
      <c r="B115" s="5" t="s">
        <v>1345</v>
      </c>
      <c r="C115" s="3">
        <v>0.04</v>
      </c>
      <c r="D115" s="3">
        <v>0</v>
      </c>
      <c r="E115" s="3">
        <v>0</v>
      </c>
      <c r="F115" s="3">
        <v>7.0000000000000007E-2</v>
      </c>
      <c r="G115" s="3">
        <v>1</v>
      </c>
      <c r="H115" s="3">
        <v>1</v>
      </c>
      <c r="I115" s="3">
        <v>177.5</v>
      </c>
      <c r="J115" s="5" t="s">
        <v>1346</v>
      </c>
      <c r="K115" s="3" t="s">
        <v>9</v>
      </c>
      <c r="L115" s="3" t="s">
        <v>9</v>
      </c>
      <c r="M115" s="3" t="s">
        <v>9</v>
      </c>
      <c r="N115" s="3" t="s">
        <v>9</v>
      </c>
      <c r="O115" s="3" t="s">
        <v>9</v>
      </c>
      <c r="P115" s="3" t="s">
        <v>9</v>
      </c>
      <c r="Q115" s="10">
        <f t="shared" ca="1" si="3"/>
        <v>42487</v>
      </c>
      <c r="R115" s="10">
        <f t="shared" ca="1" si="4"/>
        <v>42510</v>
      </c>
      <c r="S115" s="11">
        <f t="shared" ca="1" si="5"/>
        <v>7.1428571428571425E-2</v>
      </c>
      <c r="T115" s="10"/>
    </row>
    <row r="116" spans="2:20" x14ac:dyDescent="0.2">
      <c r="B116" s="5" t="s">
        <v>1347</v>
      </c>
      <c r="C116" s="3">
        <v>0.01</v>
      </c>
      <c r="D116" s="3">
        <v>-0.05</v>
      </c>
      <c r="E116" s="3">
        <v>0</v>
      </c>
      <c r="F116" s="3">
        <v>0.06</v>
      </c>
      <c r="G116" s="3">
        <v>3</v>
      </c>
      <c r="H116" s="3">
        <v>1518</v>
      </c>
      <c r="I116" s="3">
        <v>180</v>
      </c>
      <c r="J116" s="5" t="s">
        <v>1348</v>
      </c>
      <c r="K116" s="3">
        <v>0</v>
      </c>
      <c r="L116" s="3">
        <v>0</v>
      </c>
      <c r="M116" s="3">
        <v>39.450000000000003</v>
      </c>
      <c r="N116" s="3">
        <v>43.15</v>
      </c>
      <c r="O116" s="3">
        <v>0</v>
      </c>
      <c r="P116" s="3">
        <v>0</v>
      </c>
      <c r="Q116" s="10">
        <f t="shared" ca="1" si="3"/>
        <v>42487</v>
      </c>
      <c r="R116" s="10">
        <f t="shared" ca="1" si="4"/>
        <v>42510</v>
      </c>
      <c r="S116" s="11">
        <f t="shared" ca="1" si="5"/>
        <v>7.1428571428571425E-2</v>
      </c>
      <c r="T116" s="10"/>
    </row>
    <row r="117" spans="2:20" x14ac:dyDescent="0.2">
      <c r="B117" s="5" t="s">
        <v>1349</v>
      </c>
      <c r="C117" s="3">
        <v>0.05</v>
      </c>
      <c r="D117" s="3">
        <v>0</v>
      </c>
      <c r="E117" s="3">
        <v>0</v>
      </c>
      <c r="F117" s="3">
        <v>0.06</v>
      </c>
      <c r="G117" s="3">
        <v>0</v>
      </c>
      <c r="H117" s="3">
        <v>10</v>
      </c>
      <c r="I117" s="3">
        <v>182.5</v>
      </c>
      <c r="J117" s="5" t="s">
        <v>1350</v>
      </c>
      <c r="K117" s="3" t="s">
        <v>9</v>
      </c>
      <c r="L117" s="3" t="s">
        <v>9</v>
      </c>
      <c r="M117" s="3" t="s">
        <v>9</v>
      </c>
      <c r="N117" s="3" t="s">
        <v>9</v>
      </c>
      <c r="O117" s="3" t="s">
        <v>9</v>
      </c>
      <c r="P117" s="3" t="s">
        <v>9</v>
      </c>
      <c r="Q117" s="10">
        <f t="shared" ca="1" si="3"/>
        <v>42487</v>
      </c>
      <c r="R117" s="10">
        <f t="shared" ca="1" si="4"/>
        <v>42510</v>
      </c>
      <c r="S117" s="11">
        <f t="shared" ca="1" si="5"/>
        <v>7.1428571428571425E-2</v>
      </c>
      <c r="T117" s="10"/>
    </row>
    <row r="118" spans="2:20" x14ac:dyDescent="0.2">
      <c r="B118" s="5" t="s">
        <v>1351</v>
      </c>
      <c r="C118" s="3">
        <v>0.04</v>
      </c>
      <c r="D118" s="3">
        <v>0</v>
      </c>
      <c r="E118" s="3">
        <v>0</v>
      </c>
      <c r="F118" s="3">
        <v>0.05</v>
      </c>
      <c r="G118" s="3">
        <v>0</v>
      </c>
      <c r="H118" s="3">
        <v>5304</v>
      </c>
      <c r="I118" s="3">
        <v>185</v>
      </c>
      <c r="J118" s="5" t="s">
        <v>1352</v>
      </c>
      <c r="K118" s="3">
        <v>0</v>
      </c>
      <c r="L118" s="3">
        <v>0</v>
      </c>
      <c r="M118" s="3">
        <v>44.45</v>
      </c>
      <c r="N118" s="3">
        <v>48.25</v>
      </c>
      <c r="O118" s="3">
        <v>0</v>
      </c>
      <c r="P118" s="3">
        <v>0</v>
      </c>
      <c r="Q118" s="10">
        <f t="shared" ca="1" si="3"/>
        <v>42487</v>
      </c>
      <c r="R118" s="10">
        <f t="shared" ca="1" si="4"/>
        <v>42510</v>
      </c>
      <c r="S118" s="11">
        <f t="shared" ca="1" si="5"/>
        <v>7.1428571428571425E-2</v>
      </c>
      <c r="T118" s="10"/>
    </row>
    <row r="119" spans="2:20" x14ac:dyDescent="0.2">
      <c r="B119" s="5" t="s">
        <v>1353</v>
      </c>
      <c r="C119" s="3">
        <v>0.03</v>
      </c>
      <c r="D119" s="3">
        <v>0</v>
      </c>
      <c r="E119" s="3">
        <v>0</v>
      </c>
      <c r="F119" s="3">
        <v>0.03</v>
      </c>
      <c r="G119" s="3">
        <v>0</v>
      </c>
      <c r="H119" s="3">
        <v>149</v>
      </c>
      <c r="I119" s="3">
        <v>190</v>
      </c>
      <c r="J119" s="5" t="s">
        <v>1354</v>
      </c>
      <c r="K119" s="3">
        <v>0</v>
      </c>
      <c r="L119" s="3">
        <v>0</v>
      </c>
      <c r="M119" s="3">
        <v>49.4</v>
      </c>
      <c r="N119" s="3">
        <v>53.2</v>
      </c>
      <c r="O119" s="3">
        <v>0</v>
      </c>
      <c r="P119" s="3">
        <v>0</v>
      </c>
      <c r="Q119" s="10">
        <f t="shared" ca="1" si="3"/>
        <v>42487</v>
      </c>
      <c r="R119" s="10">
        <f t="shared" ca="1" si="4"/>
        <v>42510</v>
      </c>
      <c r="S119" s="11">
        <f t="shared" ca="1" si="5"/>
        <v>7.1428571428571425E-2</v>
      </c>
      <c r="T119" s="10"/>
    </row>
    <row r="120" spans="2:20" x14ac:dyDescent="0.2">
      <c r="B120" s="5" t="s">
        <v>1355</v>
      </c>
      <c r="C120" s="3">
        <v>0.01</v>
      </c>
      <c r="D120" s="3">
        <v>0</v>
      </c>
      <c r="E120" s="3">
        <v>0</v>
      </c>
      <c r="F120" s="3">
        <v>7.0000000000000007E-2</v>
      </c>
      <c r="G120" s="3">
        <v>1</v>
      </c>
      <c r="H120" s="3">
        <v>1</v>
      </c>
      <c r="I120" s="3">
        <v>195</v>
      </c>
      <c r="J120" s="5" t="s">
        <v>1356</v>
      </c>
      <c r="K120" s="3">
        <v>0</v>
      </c>
      <c r="L120" s="3">
        <v>0</v>
      </c>
      <c r="M120" s="3">
        <v>54.4</v>
      </c>
      <c r="N120" s="3">
        <v>58.1</v>
      </c>
      <c r="O120" s="3">
        <v>0</v>
      </c>
      <c r="P120" s="3">
        <v>0</v>
      </c>
      <c r="Q120" s="10">
        <f t="shared" ca="1" si="3"/>
        <v>42487</v>
      </c>
      <c r="R120" s="10">
        <f t="shared" ca="1" si="4"/>
        <v>42510</v>
      </c>
      <c r="S120" s="11">
        <f t="shared" ca="1" si="5"/>
        <v>7.1428571428571425E-2</v>
      </c>
      <c r="T120" s="10"/>
    </row>
    <row r="121" spans="2:20" x14ac:dyDescent="0.2">
      <c r="B121" s="5" t="s">
        <v>1357</v>
      </c>
      <c r="C121" s="3">
        <v>0.01</v>
      </c>
      <c r="D121" s="3">
        <v>0</v>
      </c>
      <c r="E121" s="3">
        <v>0</v>
      </c>
      <c r="F121" s="3">
        <v>0.02</v>
      </c>
      <c r="G121" s="3">
        <v>0</v>
      </c>
      <c r="H121" s="3">
        <v>100</v>
      </c>
      <c r="I121" s="3">
        <v>200</v>
      </c>
      <c r="J121" s="5" t="s">
        <v>1358</v>
      </c>
      <c r="K121" s="3">
        <v>0</v>
      </c>
      <c r="L121" s="3">
        <v>0</v>
      </c>
      <c r="M121" s="3">
        <v>59.4</v>
      </c>
      <c r="N121" s="3">
        <v>63.25</v>
      </c>
      <c r="O121" s="3">
        <v>0</v>
      </c>
      <c r="P121" s="3">
        <v>0</v>
      </c>
      <c r="Q121" s="10">
        <f t="shared" ca="1" si="3"/>
        <v>42487</v>
      </c>
      <c r="R121" s="10">
        <f t="shared" ca="1" si="4"/>
        <v>42510</v>
      </c>
      <c r="S121" s="11">
        <f t="shared" ca="1" si="5"/>
        <v>7.1428571428571425E-2</v>
      </c>
      <c r="T121" s="10"/>
    </row>
    <row r="122" spans="2:20" x14ac:dyDescent="0.2">
      <c r="B122" s="5" t="s">
        <v>1359</v>
      </c>
      <c r="C122" s="3">
        <v>0.01</v>
      </c>
      <c r="D122" s="3">
        <v>0</v>
      </c>
      <c r="E122" s="3">
        <v>0</v>
      </c>
      <c r="F122" s="3">
        <v>0.01</v>
      </c>
      <c r="G122" s="3">
        <v>20</v>
      </c>
      <c r="H122" s="3">
        <v>20</v>
      </c>
      <c r="I122" s="3">
        <v>205</v>
      </c>
      <c r="J122" s="5" t="s">
        <v>1360</v>
      </c>
      <c r="K122" s="3" t="s">
        <v>9</v>
      </c>
      <c r="L122" s="3" t="s">
        <v>9</v>
      </c>
      <c r="M122" s="3" t="s">
        <v>9</v>
      </c>
      <c r="N122" s="3" t="s">
        <v>9</v>
      </c>
      <c r="O122" s="3" t="s">
        <v>9</v>
      </c>
      <c r="P122" s="3" t="s">
        <v>9</v>
      </c>
      <c r="Q122" s="10">
        <f t="shared" ca="1" si="3"/>
        <v>42487</v>
      </c>
      <c r="R122" s="10">
        <f t="shared" ca="1" si="4"/>
        <v>42510</v>
      </c>
      <c r="S122" s="11">
        <f t="shared" ca="1" si="5"/>
        <v>7.1428571428571425E-2</v>
      </c>
      <c r="T122" s="10"/>
    </row>
    <row r="123" spans="2:20" x14ac:dyDescent="0.2">
      <c r="B123" s="5" t="s">
        <v>1361</v>
      </c>
      <c r="C123" s="3" t="s">
        <v>9</v>
      </c>
      <c r="D123" s="3" t="s">
        <v>9</v>
      </c>
      <c r="E123" s="3" t="s">
        <v>9</v>
      </c>
      <c r="F123" s="3" t="s">
        <v>9</v>
      </c>
      <c r="G123" s="3" t="s">
        <v>9</v>
      </c>
      <c r="H123" s="3" t="s">
        <v>9</v>
      </c>
      <c r="I123" s="3">
        <v>115</v>
      </c>
      <c r="J123" s="5" t="s">
        <v>1362</v>
      </c>
      <c r="K123" s="3">
        <v>0.11</v>
      </c>
      <c r="L123" s="3">
        <v>0</v>
      </c>
      <c r="M123" s="3">
        <v>0</v>
      </c>
      <c r="N123" s="3">
        <v>0.11</v>
      </c>
      <c r="O123" s="3">
        <v>29</v>
      </c>
      <c r="P123" s="3">
        <v>30</v>
      </c>
      <c r="Q123" s="10">
        <f t="shared" ca="1" si="3"/>
        <v>42487</v>
      </c>
      <c r="R123" s="10">
        <f t="shared" ca="1" si="4"/>
        <v>42517</v>
      </c>
      <c r="S123" s="11">
        <f t="shared" ca="1" si="5"/>
        <v>9.1269841269841265E-2</v>
      </c>
      <c r="T123" s="10"/>
    </row>
    <row r="124" spans="2:20" x14ac:dyDescent="0.2">
      <c r="B124" s="5" t="s">
        <v>1363</v>
      </c>
      <c r="C124" s="3" t="s">
        <v>9</v>
      </c>
      <c r="D124" s="3" t="s">
        <v>9</v>
      </c>
      <c r="E124" s="3" t="s">
        <v>9</v>
      </c>
      <c r="F124" s="3" t="s">
        <v>9</v>
      </c>
      <c r="G124" s="3" t="s">
        <v>9</v>
      </c>
      <c r="H124" s="3" t="s">
        <v>9</v>
      </c>
      <c r="I124" s="3">
        <v>120</v>
      </c>
      <c r="J124" s="5" t="s">
        <v>1364</v>
      </c>
      <c r="K124" s="3">
        <v>0.11</v>
      </c>
      <c r="L124" s="3">
        <v>0</v>
      </c>
      <c r="M124" s="3">
        <v>0.03</v>
      </c>
      <c r="N124" s="3">
        <v>0.18</v>
      </c>
      <c r="O124" s="3">
        <v>0</v>
      </c>
      <c r="P124" s="3">
        <v>13</v>
      </c>
      <c r="Q124" s="10">
        <f t="shared" ca="1" si="3"/>
        <v>42487</v>
      </c>
      <c r="R124" s="10">
        <f t="shared" ca="1" si="4"/>
        <v>42517</v>
      </c>
      <c r="S124" s="11">
        <f t="shared" ca="1" si="5"/>
        <v>9.1269841269841265E-2</v>
      </c>
      <c r="T124" s="10"/>
    </row>
    <row r="125" spans="2:20" x14ac:dyDescent="0.2">
      <c r="B125" s="5" t="s">
        <v>1365</v>
      </c>
      <c r="C125" s="3">
        <v>21.5</v>
      </c>
      <c r="D125" s="3">
        <v>0</v>
      </c>
      <c r="E125" s="3">
        <v>21.7</v>
      </c>
      <c r="F125" s="3">
        <v>25.2</v>
      </c>
      <c r="G125" s="3">
        <v>0</v>
      </c>
      <c r="H125" s="3">
        <v>1</v>
      </c>
      <c r="I125" s="3">
        <v>125</v>
      </c>
      <c r="J125" s="5" t="s">
        <v>1366</v>
      </c>
      <c r="K125" s="3">
        <v>0.12</v>
      </c>
      <c r="L125" s="3">
        <v>0</v>
      </c>
      <c r="M125" s="3">
        <v>0.04</v>
      </c>
      <c r="N125" s="3">
        <v>0.27</v>
      </c>
      <c r="O125" s="3">
        <v>1</v>
      </c>
      <c r="P125" s="3">
        <v>11</v>
      </c>
      <c r="Q125" s="10">
        <f t="shared" ca="1" si="3"/>
        <v>42487</v>
      </c>
      <c r="R125" s="10">
        <f t="shared" ca="1" si="4"/>
        <v>42517</v>
      </c>
      <c r="S125" s="11">
        <f t="shared" ca="1" si="5"/>
        <v>9.1269841269841265E-2</v>
      </c>
      <c r="T125" s="10"/>
    </row>
    <row r="126" spans="2:20" x14ac:dyDescent="0.2">
      <c r="B126" s="5" t="s">
        <v>1367</v>
      </c>
      <c r="C126" s="3" t="s">
        <v>9</v>
      </c>
      <c r="D126" s="3" t="s">
        <v>9</v>
      </c>
      <c r="E126" s="3" t="s">
        <v>9</v>
      </c>
      <c r="F126" s="3" t="s">
        <v>9</v>
      </c>
      <c r="G126" s="3" t="s">
        <v>9</v>
      </c>
      <c r="H126" s="3" t="s">
        <v>9</v>
      </c>
      <c r="I126" s="3">
        <v>130</v>
      </c>
      <c r="J126" s="5" t="s">
        <v>1368</v>
      </c>
      <c r="K126" s="3">
        <v>0.21</v>
      </c>
      <c r="L126" s="3">
        <v>0</v>
      </c>
      <c r="M126" s="3">
        <v>0.3</v>
      </c>
      <c r="N126" s="3">
        <v>0.39</v>
      </c>
      <c r="O126" s="3">
        <v>2</v>
      </c>
      <c r="P126" s="3">
        <v>21</v>
      </c>
      <c r="Q126" s="10">
        <f t="shared" ca="1" si="3"/>
        <v>42487</v>
      </c>
      <c r="R126" s="10">
        <f t="shared" ca="1" si="4"/>
        <v>42517</v>
      </c>
      <c r="S126" s="11">
        <f t="shared" ca="1" si="5"/>
        <v>9.1269841269841265E-2</v>
      </c>
      <c r="T126" s="10"/>
    </row>
    <row r="127" spans="2:20" x14ac:dyDescent="0.2">
      <c r="B127" s="5" t="s">
        <v>1369</v>
      </c>
      <c r="C127" s="3">
        <v>9.7100000000000009</v>
      </c>
      <c r="D127" s="3">
        <v>0</v>
      </c>
      <c r="E127" s="3">
        <v>12.1</v>
      </c>
      <c r="F127" s="3">
        <v>15.4</v>
      </c>
      <c r="G127" s="3">
        <v>5</v>
      </c>
      <c r="H127" s="3">
        <v>5</v>
      </c>
      <c r="I127" s="3">
        <v>135</v>
      </c>
      <c r="J127" s="5" t="s">
        <v>1370</v>
      </c>
      <c r="K127" s="3">
        <v>0.65</v>
      </c>
      <c r="L127" s="3">
        <v>0.22</v>
      </c>
      <c r="M127" s="3">
        <v>0.65</v>
      </c>
      <c r="N127" s="3">
        <v>0.74</v>
      </c>
      <c r="O127" s="3">
        <v>1</v>
      </c>
      <c r="P127" s="3">
        <v>49</v>
      </c>
      <c r="Q127" s="10">
        <f t="shared" ca="1" si="3"/>
        <v>42487</v>
      </c>
      <c r="R127" s="10">
        <f t="shared" ca="1" si="4"/>
        <v>42517</v>
      </c>
      <c r="S127" s="11">
        <f t="shared" ca="1" si="5"/>
        <v>9.1269841269841265E-2</v>
      </c>
      <c r="T127" s="10"/>
    </row>
    <row r="128" spans="2:20" x14ac:dyDescent="0.2">
      <c r="B128" s="5" t="s">
        <v>1371</v>
      </c>
      <c r="C128" s="3" t="s">
        <v>9</v>
      </c>
      <c r="D128" s="3" t="s">
        <v>9</v>
      </c>
      <c r="E128" s="3" t="s">
        <v>9</v>
      </c>
      <c r="F128" s="3" t="s">
        <v>9</v>
      </c>
      <c r="G128" s="3" t="s">
        <v>9</v>
      </c>
      <c r="H128" s="3" t="s">
        <v>9</v>
      </c>
      <c r="I128" s="3">
        <v>136</v>
      </c>
      <c r="J128" s="5" t="s">
        <v>1372</v>
      </c>
      <c r="K128" s="3">
        <v>0.62</v>
      </c>
      <c r="L128" s="3">
        <v>0</v>
      </c>
      <c r="M128" s="3">
        <v>0.49</v>
      </c>
      <c r="N128" s="3">
        <v>0.79</v>
      </c>
      <c r="O128" s="3">
        <v>2</v>
      </c>
      <c r="P128" s="3">
        <v>9</v>
      </c>
      <c r="Q128" s="10">
        <f t="shared" ca="1" si="3"/>
        <v>42487</v>
      </c>
      <c r="R128" s="10">
        <f t="shared" ca="1" si="4"/>
        <v>42517</v>
      </c>
      <c r="S128" s="11">
        <f t="shared" ca="1" si="5"/>
        <v>9.1269841269841265E-2</v>
      </c>
      <c r="T128" s="10"/>
    </row>
    <row r="129" spans="2:20" x14ac:dyDescent="0.2">
      <c r="B129" s="5" t="s">
        <v>1373</v>
      </c>
      <c r="C129" s="3" t="s">
        <v>9</v>
      </c>
      <c r="D129" s="3" t="s">
        <v>9</v>
      </c>
      <c r="E129" s="3" t="s">
        <v>9</v>
      </c>
      <c r="F129" s="3" t="s">
        <v>9</v>
      </c>
      <c r="G129" s="3" t="s">
        <v>9</v>
      </c>
      <c r="H129" s="3" t="s">
        <v>9</v>
      </c>
      <c r="I129" s="3">
        <v>137</v>
      </c>
      <c r="J129" s="5" t="s">
        <v>1374</v>
      </c>
      <c r="K129" s="3">
        <v>0.54</v>
      </c>
      <c r="L129" s="3">
        <v>0</v>
      </c>
      <c r="M129" s="3">
        <v>0.64</v>
      </c>
      <c r="N129" s="3">
        <v>0.75</v>
      </c>
      <c r="O129" s="3">
        <v>3</v>
      </c>
      <c r="P129" s="3">
        <v>2</v>
      </c>
      <c r="Q129" s="10">
        <f t="shared" ca="1" si="3"/>
        <v>42487</v>
      </c>
      <c r="R129" s="10">
        <f t="shared" ca="1" si="4"/>
        <v>42517</v>
      </c>
      <c r="S129" s="11">
        <f t="shared" ca="1" si="5"/>
        <v>9.1269841269841265E-2</v>
      </c>
      <c r="T129" s="10"/>
    </row>
    <row r="130" spans="2:20" x14ac:dyDescent="0.2">
      <c r="B130" s="5" t="s">
        <v>1375</v>
      </c>
      <c r="C130" s="3">
        <v>12.23</v>
      </c>
      <c r="D130" s="3">
        <v>0</v>
      </c>
      <c r="E130" s="3">
        <v>9.1999999999999993</v>
      </c>
      <c r="F130" s="3">
        <v>12.15</v>
      </c>
      <c r="G130" s="3">
        <v>1</v>
      </c>
      <c r="H130" s="3">
        <v>0</v>
      </c>
      <c r="I130" s="3">
        <v>138</v>
      </c>
      <c r="J130" s="5" t="s">
        <v>1376</v>
      </c>
      <c r="K130" s="3">
        <v>0.55000000000000004</v>
      </c>
      <c r="L130" s="3">
        <v>0</v>
      </c>
      <c r="M130" s="3">
        <v>1.01</v>
      </c>
      <c r="N130" s="3">
        <v>1.18</v>
      </c>
      <c r="O130" s="3">
        <v>3</v>
      </c>
      <c r="P130" s="3">
        <v>17</v>
      </c>
      <c r="Q130" s="10">
        <f t="shared" ca="1" si="3"/>
        <v>42487</v>
      </c>
      <c r="R130" s="10">
        <f t="shared" ca="1" si="4"/>
        <v>42517</v>
      </c>
      <c r="S130" s="11">
        <f t="shared" ca="1" si="5"/>
        <v>9.1269841269841265E-2</v>
      </c>
      <c r="T130" s="10"/>
    </row>
    <row r="131" spans="2:20" x14ac:dyDescent="0.2">
      <c r="B131" s="5" t="s">
        <v>1377</v>
      </c>
      <c r="C131" s="3" t="s">
        <v>9</v>
      </c>
      <c r="D131" s="3" t="s">
        <v>9</v>
      </c>
      <c r="E131" s="3" t="s">
        <v>9</v>
      </c>
      <c r="F131" s="3" t="s">
        <v>9</v>
      </c>
      <c r="G131" s="3" t="s">
        <v>9</v>
      </c>
      <c r="H131" s="3" t="s">
        <v>9</v>
      </c>
      <c r="I131" s="3">
        <v>139</v>
      </c>
      <c r="J131" s="5" t="s">
        <v>1378</v>
      </c>
      <c r="K131" s="3">
        <v>1.3</v>
      </c>
      <c r="L131" s="3">
        <v>0.3</v>
      </c>
      <c r="M131" s="3">
        <v>1.25</v>
      </c>
      <c r="N131" s="3">
        <v>1.36</v>
      </c>
      <c r="O131" s="3">
        <v>3</v>
      </c>
      <c r="P131" s="3">
        <v>17</v>
      </c>
      <c r="Q131" s="10">
        <f t="shared" ca="1" si="3"/>
        <v>42487</v>
      </c>
      <c r="R131" s="10">
        <f t="shared" ca="1" si="4"/>
        <v>42517</v>
      </c>
      <c r="S131" s="11">
        <f t="shared" ca="1" si="5"/>
        <v>9.1269841269841265E-2</v>
      </c>
      <c r="T131" s="10"/>
    </row>
    <row r="132" spans="2:20" x14ac:dyDescent="0.2">
      <c r="B132" s="5" t="s">
        <v>1379</v>
      </c>
      <c r="C132" s="3">
        <v>6</v>
      </c>
      <c r="D132" s="3">
        <v>1</v>
      </c>
      <c r="E132" s="3">
        <v>6.2</v>
      </c>
      <c r="F132" s="3">
        <v>6.95</v>
      </c>
      <c r="G132" s="3">
        <v>2</v>
      </c>
      <c r="H132" s="3">
        <v>23</v>
      </c>
      <c r="I132" s="3">
        <v>140</v>
      </c>
      <c r="J132" s="5" t="s">
        <v>1380</v>
      </c>
      <c r="K132" s="3">
        <v>1.3</v>
      </c>
      <c r="L132" s="3">
        <v>0.15</v>
      </c>
      <c r="M132" s="3">
        <v>1.43</v>
      </c>
      <c r="N132" s="3">
        <v>1.58</v>
      </c>
      <c r="O132" s="3">
        <v>1</v>
      </c>
      <c r="P132" s="3">
        <v>145</v>
      </c>
      <c r="Q132" s="10">
        <f t="shared" ca="1" si="3"/>
        <v>42487</v>
      </c>
      <c r="R132" s="10">
        <f t="shared" ca="1" si="4"/>
        <v>42517</v>
      </c>
      <c r="S132" s="11">
        <f t="shared" ca="1" si="5"/>
        <v>9.1269841269841265E-2</v>
      </c>
      <c r="T132" s="10"/>
    </row>
    <row r="133" spans="2:20" x14ac:dyDescent="0.2">
      <c r="B133" s="5" t="s">
        <v>1381</v>
      </c>
      <c r="C133" s="3" t="s">
        <v>9</v>
      </c>
      <c r="D133" s="3" t="s">
        <v>9</v>
      </c>
      <c r="E133" s="3" t="s">
        <v>9</v>
      </c>
      <c r="F133" s="3" t="s">
        <v>9</v>
      </c>
      <c r="G133" s="3" t="s">
        <v>9</v>
      </c>
      <c r="H133" s="3" t="s">
        <v>9</v>
      </c>
      <c r="I133" s="3">
        <v>141</v>
      </c>
      <c r="J133" s="5" t="s">
        <v>1382</v>
      </c>
      <c r="K133" s="3">
        <v>2.12</v>
      </c>
      <c r="L133" s="3">
        <v>1.18</v>
      </c>
      <c r="M133" s="3">
        <v>1.65</v>
      </c>
      <c r="N133" s="3">
        <v>1.87</v>
      </c>
      <c r="O133" s="3">
        <v>1</v>
      </c>
      <c r="P133" s="3">
        <v>20</v>
      </c>
      <c r="Q133" s="10">
        <f t="shared" ca="1" si="3"/>
        <v>42487</v>
      </c>
      <c r="R133" s="10">
        <f t="shared" ca="1" si="4"/>
        <v>42517</v>
      </c>
      <c r="S133" s="11">
        <f t="shared" ca="1" si="5"/>
        <v>9.1269841269841265E-2</v>
      </c>
      <c r="T133" s="10"/>
    </row>
    <row r="134" spans="2:20" x14ac:dyDescent="0.2">
      <c r="B134" s="5" t="s">
        <v>1383</v>
      </c>
      <c r="C134" s="3">
        <v>8.1999999999999993</v>
      </c>
      <c r="D134" s="3">
        <v>0</v>
      </c>
      <c r="E134" s="3">
        <v>5.9</v>
      </c>
      <c r="F134" s="3">
        <v>7.75</v>
      </c>
      <c r="G134" s="3">
        <v>0</v>
      </c>
      <c r="H134" s="3">
        <v>28</v>
      </c>
      <c r="I134" s="3">
        <v>142</v>
      </c>
      <c r="J134" s="5" t="s">
        <v>1384</v>
      </c>
      <c r="K134" s="3">
        <v>1.83</v>
      </c>
      <c r="L134" s="3">
        <v>0.64</v>
      </c>
      <c r="M134" s="3">
        <v>1.92</v>
      </c>
      <c r="N134" s="3">
        <v>2.16</v>
      </c>
      <c r="O134" s="3">
        <v>1</v>
      </c>
      <c r="P134" s="3">
        <v>21</v>
      </c>
      <c r="Q134" s="10">
        <f t="shared" ca="1" si="3"/>
        <v>42487</v>
      </c>
      <c r="R134" s="10">
        <f t="shared" ca="1" si="4"/>
        <v>42517</v>
      </c>
      <c r="S134" s="11">
        <f t="shared" ca="1" si="5"/>
        <v>9.1269841269841265E-2</v>
      </c>
      <c r="T134" s="10"/>
    </row>
    <row r="135" spans="2:20" x14ac:dyDescent="0.2">
      <c r="B135" s="5" t="s">
        <v>1385</v>
      </c>
      <c r="C135" s="3">
        <v>5.3</v>
      </c>
      <c r="D135" s="3">
        <v>0</v>
      </c>
      <c r="E135" s="3">
        <v>5.75</v>
      </c>
      <c r="F135" s="3">
        <v>6.75</v>
      </c>
      <c r="G135" s="3">
        <v>8</v>
      </c>
      <c r="H135" s="3">
        <v>17</v>
      </c>
      <c r="I135" s="3">
        <v>143</v>
      </c>
      <c r="J135" s="5" t="s">
        <v>1386</v>
      </c>
      <c r="K135" s="3">
        <v>2.5</v>
      </c>
      <c r="L135" s="3">
        <v>0.77</v>
      </c>
      <c r="M135" s="3">
        <v>2.35</v>
      </c>
      <c r="N135" s="3">
        <v>2.5099999999999998</v>
      </c>
      <c r="O135" s="3">
        <v>200</v>
      </c>
      <c r="P135" s="3">
        <v>22</v>
      </c>
      <c r="Q135" s="10">
        <f t="shared" ref="Q135:Q198" ca="1" si="6">TODAY()</f>
        <v>42487</v>
      </c>
      <c r="R135" s="10">
        <f t="shared" ref="R135:R198" ca="1" si="7">DATE(MID(B135,$R$3+1,2)+100,MID(B135,$R$3+3,2),MID(B135,$R$3+5,2))</f>
        <v>42517</v>
      </c>
      <c r="S135" s="11">
        <f t="shared" ref="S135:S198" ca="1" si="8">NETWORKDAYS(Q135,R135)/252</f>
        <v>9.1269841269841265E-2</v>
      </c>
      <c r="T135" s="10"/>
    </row>
    <row r="136" spans="2:20" x14ac:dyDescent="0.2">
      <c r="B136" s="5" t="s">
        <v>1387</v>
      </c>
      <c r="C136" s="3">
        <v>3.29</v>
      </c>
      <c r="D136" s="3">
        <v>-3.64</v>
      </c>
      <c r="E136" s="3">
        <v>3.4</v>
      </c>
      <c r="F136" s="3">
        <v>3.7</v>
      </c>
      <c r="G136" s="3">
        <v>10</v>
      </c>
      <c r="H136" s="3">
        <v>7</v>
      </c>
      <c r="I136" s="3">
        <v>144</v>
      </c>
      <c r="J136" s="5" t="s">
        <v>1388</v>
      </c>
      <c r="K136" s="3">
        <v>2</v>
      </c>
      <c r="L136" s="3">
        <v>0</v>
      </c>
      <c r="M136" s="3">
        <v>2.69</v>
      </c>
      <c r="N136" s="3">
        <v>2.89</v>
      </c>
      <c r="O136" s="3">
        <v>5</v>
      </c>
      <c r="P136" s="3">
        <v>35</v>
      </c>
      <c r="Q136" s="10">
        <f t="shared" ca="1" si="6"/>
        <v>42487</v>
      </c>
      <c r="R136" s="10">
        <f t="shared" ca="1" si="7"/>
        <v>42517</v>
      </c>
      <c r="S136" s="11">
        <f t="shared" ca="1" si="8"/>
        <v>9.1269841269841265E-2</v>
      </c>
      <c r="T136" s="10"/>
    </row>
    <row r="137" spans="2:20" x14ac:dyDescent="0.2">
      <c r="B137" s="5" t="s">
        <v>1389</v>
      </c>
      <c r="C137" s="3">
        <v>2.65</v>
      </c>
      <c r="D137" s="3">
        <v>-1</v>
      </c>
      <c r="E137" s="3">
        <v>2.89</v>
      </c>
      <c r="F137" s="3">
        <v>3.1</v>
      </c>
      <c r="G137" s="3">
        <v>5</v>
      </c>
      <c r="H137" s="3">
        <v>26</v>
      </c>
      <c r="I137" s="3">
        <v>145</v>
      </c>
      <c r="J137" s="5" t="s">
        <v>1390</v>
      </c>
      <c r="K137" s="3">
        <v>3.29</v>
      </c>
      <c r="L137" s="3">
        <v>1.64</v>
      </c>
      <c r="M137" s="3">
        <v>3.15</v>
      </c>
      <c r="N137" s="3">
        <v>3.35</v>
      </c>
      <c r="O137" s="3">
        <v>10</v>
      </c>
      <c r="P137" s="3">
        <v>60</v>
      </c>
      <c r="Q137" s="10">
        <f t="shared" ca="1" si="6"/>
        <v>42487</v>
      </c>
      <c r="R137" s="10">
        <f t="shared" ca="1" si="7"/>
        <v>42517</v>
      </c>
      <c r="S137" s="11">
        <f t="shared" ca="1" si="8"/>
        <v>9.1269841269841265E-2</v>
      </c>
      <c r="T137" s="10"/>
    </row>
    <row r="138" spans="2:20" x14ac:dyDescent="0.2">
      <c r="B138" s="5" t="s">
        <v>1391</v>
      </c>
      <c r="C138" s="3">
        <v>2.34</v>
      </c>
      <c r="D138" s="3">
        <v>-0.71</v>
      </c>
      <c r="E138" s="3">
        <v>2.38</v>
      </c>
      <c r="F138" s="3">
        <v>2.57</v>
      </c>
      <c r="G138" s="3">
        <v>1</v>
      </c>
      <c r="H138" s="3">
        <v>50</v>
      </c>
      <c r="I138" s="3">
        <v>146</v>
      </c>
      <c r="J138" s="5" t="s">
        <v>1392</v>
      </c>
      <c r="K138" s="3">
        <v>2.69</v>
      </c>
      <c r="L138" s="3">
        <v>0</v>
      </c>
      <c r="M138" s="3">
        <v>3.5</v>
      </c>
      <c r="N138" s="3">
        <v>3.95</v>
      </c>
      <c r="O138" s="3">
        <v>2</v>
      </c>
      <c r="P138" s="3">
        <v>108</v>
      </c>
      <c r="Q138" s="10">
        <f t="shared" ca="1" si="6"/>
        <v>42487</v>
      </c>
      <c r="R138" s="10">
        <f t="shared" ca="1" si="7"/>
        <v>42517</v>
      </c>
      <c r="S138" s="11">
        <f t="shared" ca="1" si="8"/>
        <v>9.1269841269841265E-2</v>
      </c>
      <c r="T138" s="10"/>
    </row>
    <row r="139" spans="2:20" x14ac:dyDescent="0.2">
      <c r="B139" s="5" t="s">
        <v>1393</v>
      </c>
      <c r="C139" s="3">
        <v>1.88</v>
      </c>
      <c r="D139" s="3">
        <v>-0.7</v>
      </c>
      <c r="E139" s="3">
        <v>1.94</v>
      </c>
      <c r="F139" s="3">
        <v>2.13</v>
      </c>
      <c r="G139" s="3">
        <v>3</v>
      </c>
      <c r="H139" s="3">
        <v>34</v>
      </c>
      <c r="I139" s="3">
        <v>147</v>
      </c>
      <c r="J139" s="5" t="s">
        <v>1394</v>
      </c>
      <c r="K139" s="3">
        <v>3.15</v>
      </c>
      <c r="L139" s="3">
        <v>0</v>
      </c>
      <c r="M139" s="3">
        <v>2.89</v>
      </c>
      <c r="N139" s="3">
        <v>3.05</v>
      </c>
      <c r="O139" s="3">
        <v>27</v>
      </c>
      <c r="P139" s="3">
        <v>49</v>
      </c>
      <c r="Q139" s="10">
        <f t="shared" ca="1" si="6"/>
        <v>42487</v>
      </c>
      <c r="R139" s="10">
        <f t="shared" ca="1" si="7"/>
        <v>42517</v>
      </c>
      <c r="S139" s="11">
        <f t="shared" ca="1" si="8"/>
        <v>9.1269841269841265E-2</v>
      </c>
      <c r="T139" s="10"/>
    </row>
    <row r="140" spans="2:20" x14ac:dyDescent="0.2">
      <c r="B140" s="5" t="s">
        <v>1395</v>
      </c>
      <c r="C140" s="3">
        <v>1.53</v>
      </c>
      <c r="D140" s="3">
        <v>-1.93</v>
      </c>
      <c r="E140" s="3">
        <v>1.56</v>
      </c>
      <c r="F140" s="3">
        <v>1.73</v>
      </c>
      <c r="G140" s="3">
        <v>70</v>
      </c>
      <c r="H140" s="3">
        <v>87</v>
      </c>
      <c r="I140" s="3">
        <v>148</v>
      </c>
      <c r="J140" s="5" t="s">
        <v>1396</v>
      </c>
      <c r="K140" s="3">
        <v>3.46</v>
      </c>
      <c r="L140" s="3">
        <v>0</v>
      </c>
      <c r="M140" s="3">
        <v>4.7</v>
      </c>
      <c r="N140" s="3">
        <v>5.15</v>
      </c>
      <c r="O140" s="3">
        <v>94</v>
      </c>
      <c r="P140" s="3">
        <v>115</v>
      </c>
      <c r="Q140" s="10">
        <f t="shared" ca="1" si="6"/>
        <v>42487</v>
      </c>
      <c r="R140" s="10">
        <f t="shared" ca="1" si="7"/>
        <v>42517</v>
      </c>
      <c r="S140" s="11">
        <f t="shared" ca="1" si="8"/>
        <v>9.1269841269841265E-2</v>
      </c>
      <c r="T140" s="10"/>
    </row>
    <row r="141" spans="2:20" x14ac:dyDescent="0.2">
      <c r="B141" s="5" t="s">
        <v>1397</v>
      </c>
      <c r="C141" s="3">
        <v>1.08</v>
      </c>
      <c r="D141" s="3">
        <v>-0.59</v>
      </c>
      <c r="E141" s="3">
        <v>1.24</v>
      </c>
      <c r="F141" s="3">
        <v>1.41</v>
      </c>
      <c r="G141" s="3">
        <v>9</v>
      </c>
      <c r="H141" s="3">
        <v>157</v>
      </c>
      <c r="I141" s="3">
        <v>149</v>
      </c>
      <c r="J141" s="5" t="s">
        <v>1398</v>
      </c>
      <c r="K141" s="3">
        <v>3.38</v>
      </c>
      <c r="L141" s="3">
        <v>0</v>
      </c>
      <c r="M141" s="3">
        <v>5.25</v>
      </c>
      <c r="N141" s="3">
        <v>7.1</v>
      </c>
      <c r="O141" s="3">
        <v>52</v>
      </c>
      <c r="P141" s="3">
        <v>135</v>
      </c>
      <c r="Q141" s="10">
        <f t="shared" ca="1" si="6"/>
        <v>42487</v>
      </c>
      <c r="R141" s="10">
        <f t="shared" ca="1" si="7"/>
        <v>42517</v>
      </c>
      <c r="S141" s="11">
        <f t="shared" ca="1" si="8"/>
        <v>9.1269841269841265E-2</v>
      </c>
      <c r="T141" s="10"/>
    </row>
    <row r="142" spans="2:20" x14ac:dyDescent="0.2">
      <c r="B142" s="5" t="s">
        <v>1399</v>
      </c>
      <c r="C142" s="3">
        <v>1.05</v>
      </c>
      <c r="D142" s="3">
        <v>-0.51</v>
      </c>
      <c r="E142" s="3">
        <v>0.99</v>
      </c>
      <c r="F142" s="3">
        <v>1.1000000000000001</v>
      </c>
      <c r="G142" s="3">
        <v>17</v>
      </c>
      <c r="H142" s="3">
        <v>156</v>
      </c>
      <c r="I142" s="3">
        <v>150</v>
      </c>
      <c r="J142" s="5" t="s">
        <v>1400</v>
      </c>
      <c r="K142" s="3">
        <v>5.8</v>
      </c>
      <c r="L142" s="3">
        <v>0.41</v>
      </c>
      <c r="M142" s="3">
        <v>6</v>
      </c>
      <c r="N142" s="3">
        <v>7.5</v>
      </c>
      <c r="O142" s="3">
        <v>1</v>
      </c>
      <c r="P142" s="3">
        <v>163</v>
      </c>
      <c r="Q142" s="10">
        <f t="shared" ca="1" si="6"/>
        <v>42487</v>
      </c>
      <c r="R142" s="10">
        <f t="shared" ca="1" si="7"/>
        <v>42517</v>
      </c>
      <c r="S142" s="11">
        <f t="shared" ca="1" si="8"/>
        <v>9.1269841269841265E-2</v>
      </c>
      <c r="T142" s="10"/>
    </row>
    <row r="143" spans="2:20" x14ac:dyDescent="0.2">
      <c r="B143" s="5" t="s">
        <v>1401</v>
      </c>
      <c r="C143" s="3">
        <v>0.5</v>
      </c>
      <c r="D143" s="3">
        <v>-0.5</v>
      </c>
      <c r="E143" s="3">
        <v>0.5</v>
      </c>
      <c r="F143" s="3">
        <v>0.65</v>
      </c>
      <c r="G143" s="3">
        <v>7</v>
      </c>
      <c r="H143" s="3">
        <v>107</v>
      </c>
      <c r="I143" s="3">
        <v>152.5</v>
      </c>
      <c r="J143" s="5" t="s">
        <v>1402</v>
      </c>
      <c r="K143" s="3">
        <v>7.15</v>
      </c>
      <c r="L143" s="3">
        <v>1.4</v>
      </c>
      <c r="M143" s="3">
        <v>6</v>
      </c>
      <c r="N143" s="3">
        <v>7.1</v>
      </c>
      <c r="O143" s="3">
        <v>4</v>
      </c>
      <c r="P143" s="3">
        <v>22</v>
      </c>
      <c r="Q143" s="10">
        <f t="shared" ca="1" si="6"/>
        <v>42487</v>
      </c>
      <c r="R143" s="10">
        <f t="shared" ca="1" si="7"/>
        <v>42517</v>
      </c>
      <c r="S143" s="11">
        <f t="shared" ca="1" si="8"/>
        <v>9.1269841269841265E-2</v>
      </c>
      <c r="T143" s="10"/>
    </row>
    <row r="144" spans="2:20" x14ac:dyDescent="0.2">
      <c r="B144" s="5" t="s">
        <v>1403</v>
      </c>
      <c r="C144" s="3">
        <v>0.75</v>
      </c>
      <c r="D144" s="3">
        <v>0</v>
      </c>
      <c r="E144" s="3">
        <v>0.17</v>
      </c>
      <c r="F144" s="3">
        <v>0.36</v>
      </c>
      <c r="G144" s="3">
        <v>45</v>
      </c>
      <c r="H144" s="3">
        <v>97</v>
      </c>
      <c r="I144" s="3">
        <v>155</v>
      </c>
      <c r="J144" s="5" t="s">
        <v>1404</v>
      </c>
      <c r="K144" s="3">
        <v>8</v>
      </c>
      <c r="L144" s="3">
        <v>0</v>
      </c>
      <c r="M144" s="3">
        <v>10.1</v>
      </c>
      <c r="N144" s="3">
        <v>12.3</v>
      </c>
      <c r="O144" s="3">
        <v>1</v>
      </c>
      <c r="P144" s="3">
        <v>5</v>
      </c>
      <c r="Q144" s="10">
        <f t="shared" ca="1" si="6"/>
        <v>42487</v>
      </c>
      <c r="R144" s="10">
        <f t="shared" ca="1" si="7"/>
        <v>42517</v>
      </c>
      <c r="S144" s="11">
        <f t="shared" ca="1" si="8"/>
        <v>9.1269841269841265E-2</v>
      </c>
      <c r="T144" s="10"/>
    </row>
    <row r="145" spans="2:20" x14ac:dyDescent="0.2">
      <c r="B145" s="5" t="s">
        <v>1405</v>
      </c>
      <c r="C145" s="3">
        <v>0.16</v>
      </c>
      <c r="D145" s="3">
        <v>-0.14000000000000001</v>
      </c>
      <c r="E145" s="3">
        <v>0.08</v>
      </c>
      <c r="F145" s="3">
        <v>0.18</v>
      </c>
      <c r="G145" s="3">
        <v>1</v>
      </c>
      <c r="H145" s="3">
        <v>57</v>
      </c>
      <c r="I145" s="3">
        <v>157.5</v>
      </c>
      <c r="J145" s="5" t="s">
        <v>1406</v>
      </c>
      <c r="K145" s="3">
        <v>10.3</v>
      </c>
      <c r="L145" s="3">
        <v>0</v>
      </c>
      <c r="M145" s="3">
        <v>11.55</v>
      </c>
      <c r="N145" s="3">
        <v>14.85</v>
      </c>
      <c r="O145" s="3">
        <v>1</v>
      </c>
      <c r="P145" s="3">
        <v>2</v>
      </c>
      <c r="Q145" s="10">
        <f t="shared" ca="1" si="6"/>
        <v>42487</v>
      </c>
      <c r="R145" s="10">
        <f t="shared" ca="1" si="7"/>
        <v>42517</v>
      </c>
      <c r="S145" s="11">
        <f t="shared" ca="1" si="8"/>
        <v>9.1269841269841265E-2</v>
      </c>
      <c r="T145" s="10"/>
    </row>
    <row r="146" spans="2:20" x14ac:dyDescent="0.2">
      <c r="B146" s="5" t="s">
        <v>1407</v>
      </c>
      <c r="C146" s="3">
        <v>0.26</v>
      </c>
      <c r="D146" s="3">
        <v>0</v>
      </c>
      <c r="E146" s="3">
        <v>0.03</v>
      </c>
      <c r="F146" s="3">
        <v>0.11</v>
      </c>
      <c r="G146" s="3">
        <v>3</v>
      </c>
      <c r="H146" s="3">
        <v>93</v>
      </c>
      <c r="I146" s="3">
        <v>160</v>
      </c>
      <c r="J146" s="5" t="s">
        <v>1408</v>
      </c>
      <c r="K146" s="3" t="s">
        <v>9</v>
      </c>
      <c r="L146" s="3" t="s">
        <v>9</v>
      </c>
      <c r="M146" s="3" t="s">
        <v>9</v>
      </c>
      <c r="N146" s="3" t="s">
        <v>9</v>
      </c>
      <c r="O146" s="3" t="s">
        <v>9</v>
      </c>
      <c r="P146" s="3" t="s">
        <v>9</v>
      </c>
      <c r="Q146" s="10">
        <f t="shared" ca="1" si="6"/>
        <v>42487</v>
      </c>
      <c r="R146" s="10">
        <f t="shared" ca="1" si="7"/>
        <v>42517</v>
      </c>
      <c r="S146" s="11">
        <f t="shared" ca="1" si="8"/>
        <v>9.1269841269841265E-2</v>
      </c>
      <c r="T146" s="10"/>
    </row>
    <row r="147" spans="2:20" x14ac:dyDescent="0.2">
      <c r="B147" s="5" t="s">
        <v>1409</v>
      </c>
      <c r="C147" s="3">
        <v>0.15</v>
      </c>
      <c r="D147" s="3">
        <v>0</v>
      </c>
      <c r="E147" s="3">
        <v>0</v>
      </c>
      <c r="F147" s="3">
        <v>0.08</v>
      </c>
      <c r="G147" s="3">
        <v>29</v>
      </c>
      <c r="H147" s="3">
        <v>41</v>
      </c>
      <c r="I147" s="3">
        <v>162.5</v>
      </c>
      <c r="J147" s="5" t="s">
        <v>1410</v>
      </c>
      <c r="K147" s="3" t="s">
        <v>9</v>
      </c>
      <c r="L147" s="3" t="s">
        <v>9</v>
      </c>
      <c r="M147" s="3" t="s">
        <v>9</v>
      </c>
      <c r="N147" s="3" t="s">
        <v>9</v>
      </c>
      <c r="O147" s="3" t="s">
        <v>9</v>
      </c>
      <c r="P147" s="3" t="s">
        <v>9</v>
      </c>
      <c r="Q147" s="10">
        <f t="shared" ca="1" si="6"/>
        <v>42487</v>
      </c>
      <c r="R147" s="10">
        <f t="shared" ca="1" si="7"/>
        <v>42517</v>
      </c>
      <c r="S147" s="11">
        <f t="shared" ca="1" si="8"/>
        <v>9.1269841269841265E-2</v>
      </c>
      <c r="T147" s="10"/>
    </row>
    <row r="148" spans="2:20" x14ac:dyDescent="0.2">
      <c r="B148" s="5" t="s">
        <v>1411</v>
      </c>
      <c r="C148" s="3">
        <v>0.08</v>
      </c>
      <c r="D148" s="3">
        <v>0</v>
      </c>
      <c r="E148" s="3">
        <v>0</v>
      </c>
      <c r="F148" s="3">
        <v>0.06</v>
      </c>
      <c r="G148" s="3">
        <v>3</v>
      </c>
      <c r="H148" s="3">
        <v>10</v>
      </c>
      <c r="I148" s="3">
        <v>165</v>
      </c>
      <c r="J148" s="5" t="s">
        <v>1412</v>
      </c>
      <c r="K148" s="3" t="s">
        <v>9</v>
      </c>
      <c r="L148" s="3" t="s">
        <v>9</v>
      </c>
      <c r="M148" s="3" t="s">
        <v>9</v>
      </c>
      <c r="N148" s="3" t="s">
        <v>9</v>
      </c>
      <c r="O148" s="3" t="s">
        <v>9</v>
      </c>
      <c r="P148" s="3" t="s">
        <v>9</v>
      </c>
      <c r="Q148" s="10">
        <f t="shared" ca="1" si="6"/>
        <v>42487</v>
      </c>
      <c r="R148" s="10">
        <f t="shared" ca="1" si="7"/>
        <v>42517</v>
      </c>
      <c r="S148" s="11">
        <f t="shared" ca="1" si="8"/>
        <v>9.1269841269841265E-2</v>
      </c>
      <c r="T148" s="10"/>
    </row>
    <row r="149" spans="2:20" x14ac:dyDescent="0.2">
      <c r="B149" s="5" t="s">
        <v>1413</v>
      </c>
      <c r="C149" s="3">
        <v>0.04</v>
      </c>
      <c r="D149" s="3">
        <v>0</v>
      </c>
      <c r="E149" s="3">
        <v>0</v>
      </c>
      <c r="F149" s="3">
        <v>0.09</v>
      </c>
      <c r="G149" s="3">
        <v>0</v>
      </c>
      <c r="H149" s="3">
        <v>2</v>
      </c>
      <c r="I149" s="3">
        <v>167.5</v>
      </c>
      <c r="J149" s="5" t="s">
        <v>1414</v>
      </c>
      <c r="K149" s="3" t="s">
        <v>9</v>
      </c>
      <c r="L149" s="3" t="s">
        <v>9</v>
      </c>
      <c r="M149" s="3" t="s">
        <v>9</v>
      </c>
      <c r="N149" s="3" t="s">
        <v>9</v>
      </c>
      <c r="O149" s="3" t="s">
        <v>9</v>
      </c>
      <c r="P149" s="3" t="s">
        <v>9</v>
      </c>
      <c r="Q149" s="10">
        <f t="shared" ca="1" si="6"/>
        <v>42487</v>
      </c>
      <c r="R149" s="10">
        <f t="shared" ca="1" si="7"/>
        <v>42517</v>
      </c>
      <c r="S149" s="11">
        <f t="shared" ca="1" si="8"/>
        <v>9.1269841269841265E-2</v>
      </c>
      <c r="T149" s="10"/>
    </row>
    <row r="150" spans="2:20" x14ac:dyDescent="0.2">
      <c r="B150" s="5" t="s">
        <v>1415</v>
      </c>
      <c r="C150" s="3">
        <v>0.04</v>
      </c>
      <c r="D150" s="3">
        <v>0</v>
      </c>
      <c r="E150" s="3">
        <v>0</v>
      </c>
      <c r="F150" s="3">
        <v>0.08</v>
      </c>
      <c r="G150" s="3">
        <v>1</v>
      </c>
      <c r="H150" s="3">
        <v>11</v>
      </c>
      <c r="I150" s="3">
        <v>170</v>
      </c>
      <c r="J150" s="5" t="s">
        <v>1416</v>
      </c>
      <c r="K150" s="3" t="s">
        <v>9</v>
      </c>
      <c r="L150" s="3" t="s">
        <v>9</v>
      </c>
      <c r="M150" s="3" t="s">
        <v>9</v>
      </c>
      <c r="N150" s="3" t="s">
        <v>9</v>
      </c>
      <c r="O150" s="3" t="s">
        <v>9</v>
      </c>
      <c r="P150" s="3" t="s">
        <v>9</v>
      </c>
      <c r="Q150" s="10">
        <f t="shared" ca="1" si="6"/>
        <v>42487</v>
      </c>
      <c r="R150" s="10">
        <f t="shared" ca="1" si="7"/>
        <v>42517</v>
      </c>
      <c r="S150" s="11">
        <f t="shared" ca="1" si="8"/>
        <v>9.1269841269841265E-2</v>
      </c>
      <c r="T150" s="10"/>
    </row>
    <row r="151" spans="2:20" x14ac:dyDescent="0.2">
      <c r="B151" s="5" t="s">
        <v>1417</v>
      </c>
      <c r="C151" s="3">
        <v>0.11</v>
      </c>
      <c r="D151" s="3">
        <v>0</v>
      </c>
      <c r="E151" s="3">
        <v>0</v>
      </c>
      <c r="F151" s="3">
        <v>7.0000000000000007E-2</v>
      </c>
      <c r="G151" s="3">
        <v>0</v>
      </c>
      <c r="H151" s="3">
        <v>1</v>
      </c>
      <c r="I151" s="3">
        <v>175</v>
      </c>
      <c r="J151" s="5" t="s">
        <v>1418</v>
      </c>
      <c r="K151" s="3" t="s">
        <v>9</v>
      </c>
      <c r="L151" s="3" t="s">
        <v>9</v>
      </c>
      <c r="M151" s="3" t="s">
        <v>9</v>
      </c>
      <c r="N151" s="3" t="s">
        <v>9</v>
      </c>
      <c r="O151" s="3" t="s">
        <v>9</v>
      </c>
      <c r="P151" s="3" t="s">
        <v>9</v>
      </c>
      <c r="Q151" s="10">
        <f t="shared" ca="1" si="6"/>
        <v>42487</v>
      </c>
      <c r="R151" s="10">
        <f t="shared" ca="1" si="7"/>
        <v>42517</v>
      </c>
      <c r="S151" s="11">
        <f t="shared" ca="1" si="8"/>
        <v>9.1269841269841265E-2</v>
      </c>
      <c r="T151" s="10"/>
    </row>
    <row r="152" spans="2:20" x14ac:dyDescent="0.2">
      <c r="B152" s="5" t="s">
        <v>1419</v>
      </c>
      <c r="C152" s="3" t="s">
        <v>9</v>
      </c>
      <c r="D152" s="3" t="s">
        <v>9</v>
      </c>
      <c r="E152" s="3" t="s">
        <v>9</v>
      </c>
      <c r="F152" s="3" t="s">
        <v>9</v>
      </c>
      <c r="G152" s="3" t="s">
        <v>9</v>
      </c>
      <c r="H152" s="3" t="s">
        <v>9</v>
      </c>
      <c r="I152" s="3">
        <v>120</v>
      </c>
      <c r="J152" s="5" t="s">
        <v>1420</v>
      </c>
      <c r="K152" s="3">
        <v>0.12</v>
      </c>
      <c r="L152" s="3">
        <v>0</v>
      </c>
      <c r="M152" s="3">
        <v>0.04</v>
      </c>
      <c r="N152" s="3">
        <v>0.22</v>
      </c>
      <c r="O152" s="3">
        <v>9</v>
      </c>
      <c r="P152" s="3">
        <v>9</v>
      </c>
      <c r="Q152" s="10">
        <f t="shared" ca="1" si="6"/>
        <v>42487</v>
      </c>
      <c r="R152" s="10">
        <f t="shared" ca="1" si="7"/>
        <v>42524</v>
      </c>
      <c r="S152" s="11">
        <f t="shared" ca="1" si="8"/>
        <v>0.1111111111111111</v>
      </c>
      <c r="T152" s="10"/>
    </row>
    <row r="153" spans="2:20" x14ac:dyDescent="0.2">
      <c r="B153" s="5" t="s">
        <v>1421</v>
      </c>
      <c r="C153" s="3" t="s">
        <v>9</v>
      </c>
      <c r="D153" s="3" t="s">
        <v>9</v>
      </c>
      <c r="E153" s="3" t="s">
        <v>9</v>
      </c>
      <c r="F153" s="3" t="s">
        <v>9</v>
      </c>
      <c r="G153" s="3" t="s">
        <v>9</v>
      </c>
      <c r="H153" s="3" t="s">
        <v>9</v>
      </c>
      <c r="I153" s="3">
        <v>125</v>
      </c>
      <c r="J153" s="5" t="s">
        <v>1422</v>
      </c>
      <c r="K153" s="3">
        <v>0.18</v>
      </c>
      <c r="L153" s="3">
        <v>0</v>
      </c>
      <c r="M153" s="3">
        <v>0.08</v>
      </c>
      <c r="N153" s="3">
        <v>0.37</v>
      </c>
      <c r="O153" s="3">
        <v>8</v>
      </c>
      <c r="P153" s="3">
        <v>8</v>
      </c>
      <c r="Q153" s="10">
        <f t="shared" ca="1" si="6"/>
        <v>42487</v>
      </c>
      <c r="R153" s="10">
        <f t="shared" ca="1" si="7"/>
        <v>42524</v>
      </c>
      <c r="S153" s="11">
        <f t="shared" ca="1" si="8"/>
        <v>0.1111111111111111</v>
      </c>
      <c r="T153" s="10"/>
    </row>
    <row r="154" spans="2:20" x14ac:dyDescent="0.2">
      <c r="B154" s="5" t="s">
        <v>1423</v>
      </c>
      <c r="C154" s="3" t="s">
        <v>9</v>
      </c>
      <c r="D154" s="3" t="s">
        <v>9</v>
      </c>
      <c r="E154" s="3" t="s">
        <v>9</v>
      </c>
      <c r="F154" s="3" t="s">
        <v>9</v>
      </c>
      <c r="G154" s="3" t="s">
        <v>9</v>
      </c>
      <c r="H154" s="3" t="s">
        <v>9</v>
      </c>
      <c r="I154" s="3">
        <v>129</v>
      </c>
      <c r="J154" s="5" t="s">
        <v>1424</v>
      </c>
      <c r="K154" s="3">
        <v>0.42</v>
      </c>
      <c r="L154" s="3">
        <v>0</v>
      </c>
      <c r="M154" s="3">
        <v>0.26</v>
      </c>
      <c r="N154" s="3">
        <v>0.52</v>
      </c>
      <c r="O154" s="3">
        <v>1</v>
      </c>
      <c r="P154" s="3">
        <v>0</v>
      </c>
      <c r="Q154" s="10">
        <f t="shared" ca="1" si="6"/>
        <v>42487</v>
      </c>
      <c r="R154" s="10">
        <f t="shared" ca="1" si="7"/>
        <v>42524</v>
      </c>
      <c r="S154" s="11">
        <f t="shared" ca="1" si="8"/>
        <v>0.1111111111111111</v>
      </c>
      <c r="T154" s="10"/>
    </row>
    <row r="155" spans="2:20" x14ac:dyDescent="0.2">
      <c r="B155" s="5" t="s">
        <v>1425</v>
      </c>
      <c r="C155" s="3" t="s">
        <v>9</v>
      </c>
      <c r="D155" s="3" t="s">
        <v>9</v>
      </c>
      <c r="E155" s="3" t="s">
        <v>9</v>
      </c>
      <c r="F155" s="3" t="s">
        <v>9</v>
      </c>
      <c r="G155" s="3" t="s">
        <v>9</v>
      </c>
      <c r="H155" s="3" t="s">
        <v>9</v>
      </c>
      <c r="I155" s="3">
        <v>130</v>
      </c>
      <c r="J155" s="5" t="s">
        <v>1426</v>
      </c>
      <c r="K155" s="3">
        <v>0.46</v>
      </c>
      <c r="L155" s="3">
        <v>0.11</v>
      </c>
      <c r="M155" s="3">
        <v>0.32</v>
      </c>
      <c r="N155" s="3">
        <v>0.6</v>
      </c>
      <c r="O155" s="3">
        <v>15</v>
      </c>
      <c r="P155" s="3">
        <v>2</v>
      </c>
      <c r="Q155" s="10">
        <f t="shared" ca="1" si="6"/>
        <v>42487</v>
      </c>
      <c r="R155" s="10">
        <f t="shared" ca="1" si="7"/>
        <v>42524</v>
      </c>
      <c r="S155" s="11">
        <f t="shared" ca="1" si="8"/>
        <v>0.1111111111111111</v>
      </c>
      <c r="T155" s="10"/>
    </row>
    <row r="156" spans="2:20" x14ac:dyDescent="0.2">
      <c r="B156" s="5" t="s">
        <v>1427</v>
      </c>
      <c r="C156" s="3" t="s">
        <v>9</v>
      </c>
      <c r="D156" s="3" t="s">
        <v>9</v>
      </c>
      <c r="E156" s="3" t="s">
        <v>9</v>
      </c>
      <c r="F156" s="3" t="s">
        <v>9</v>
      </c>
      <c r="G156" s="3" t="s">
        <v>9</v>
      </c>
      <c r="H156" s="3" t="s">
        <v>9</v>
      </c>
      <c r="I156" s="3">
        <v>132</v>
      </c>
      <c r="J156" s="5" t="s">
        <v>1428</v>
      </c>
      <c r="K156" s="3">
        <v>0.34</v>
      </c>
      <c r="L156" s="3">
        <v>0</v>
      </c>
      <c r="M156" s="3">
        <v>0.46</v>
      </c>
      <c r="N156" s="3">
        <v>0.74</v>
      </c>
      <c r="O156" s="3">
        <v>1</v>
      </c>
      <c r="P156" s="3">
        <v>1</v>
      </c>
      <c r="Q156" s="10">
        <f t="shared" ca="1" si="6"/>
        <v>42487</v>
      </c>
      <c r="R156" s="10">
        <f t="shared" ca="1" si="7"/>
        <v>42524</v>
      </c>
      <c r="S156" s="11">
        <f t="shared" ca="1" si="8"/>
        <v>0.1111111111111111</v>
      </c>
      <c r="T156" s="10"/>
    </row>
    <row r="157" spans="2:20" x14ac:dyDescent="0.2">
      <c r="B157" s="5" t="s">
        <v>1429</v>
      </c>
      <c r="C157" s="3" t="s">
        <v>9</v>
      </c>
      <c r="D157" s="3" t="s">
        <v>9</v>
      </c>
      <c r="E157" s="3" t="s">
        <v>9</v>
      </c>
      <c r="F157" s="3" t="s">
        <v>9</v>
      </c>
      <c r="G157" s="3" t="s">
        <v>9</v>
      </c>
      <c r="H157" s="3" t="s">
        <v>9</v>
      </c>
      <c r="I157" s="3">
        <v>135</v>
      </c>
      <c r="J157" s="5" t="s">
        <v>1430</v>
      </c>
      <c r="K157" s="3">
        <v>0.67</v>
      </c>
      <c r="L157" s="3">
        <v>0.05</v>
      </c>
      <c r="M157" s="3">
        <v>0.49</v>
      </c>
      <c r="N157" s="3">
        <v>0.83</v>
      </c>
      <c r="O157" s="3">
        <v>3</v>
      </c>
      <c r="P157" s="3">
        <v>3</v>
      </c>
      <c r="Q157" s="10">
        <f t="shared" ca="1" si="6"/>
        <v>42487</v>
      </c>
      <c r="R157" s="10">
        <f t="shared" ca="1" si="7"/>
        <v>42524</v>
      </c>
      <c r="S157" s="11">
        <f t="shared" ca="1" si="8"/>
        <v>0.1111111111111111</v>
      </c>
      <c r="T157" s="10"/>
    </row>
    <row r="158" spans="2:20" x14ac:dyDescent="0.2">
      <c r="B158" s="5" t="s">
        <v>1431</v>
      </c>
      <c r="C158" s="3">
        <v>11.5</v>
      </c>
      <c r="D158" s="3">
        <v>0</v>
      </c>
      <c r="E158" s="3">
        <v>7.5</v>
      </c>
      <c r="F158" s="3">
        <v>10.050000000000001</v>
      </c>
      <c r="G158" s="3">
        <v>2</v>
      </c>
      <c r="H158" s="3">
        <v>2</v>
      </c>
      <c r="I158" s="3">
        <v>137</v>
      </c>
      <c r="J158" s="5" t="s">
        <v>1432</v>
      </c>
      <c r="K158" s="3">
        <v>0.68</v>
      </c>
      <c r="L158" s="3">
        <v>0</v>
      </c>
      <c r="M158" s="3">
        <v>1.01</v>
      </c>
      <c r="N158" s="3">
        <v>1.26</v>
      </c>
      <c r="O158" s="3">
        <v>1</v>
      </c>
      <c r="P158" s="3">
        <v>6</v>
      </c>
      <c r="Q158" s="10">
        <f t="shared" ca="1" si="6"/>
        <v>42487</v>
      </c>
      <c r="R158" s="10">
        <f t="shared" ca="1" si="7"/>
        <v>42524</v>
      </c>
      <c r="S158" s="11">
        <f t="shared" ca="1" si="8"/>
        <v>0.1111111111111111</v>
      </c>
      <c r="T158" s="10"/>
    </row>
    <row r="159" spans="2:20" x14ac:dyDescent="0.2">
      <c r="B159" s="5" t="s">
        <v>1433</v>
      </c>
      <c r="C159" s="3" t="s">
        <v>9</v>
      </c>
      <c r="D159" s="3" t="s">
        <v>9</v>
      </c>
      <c r="E159" s="3" t="s">
        <v>9</v>
      </c>
      <c r="F159" s="3" t="s">
        <v>9</v>
      </c>
      <c r="G159" s="3" t="s">
        <v>9</v>
      </c>
      <c r="H159" s="3" t="s">
        <v>9</v>
      </c>
      <c r="I159" s="3">
        <v>138</v>
      </c>
      <c r="J159" s="5" t="s">
        <v>1434</v>
      </c>
      <c r="K159" s="3">
        <v>1.38</v>
      </c>
      <c r="L159" s="3">
        <v>0</v>
      </c>
      <c r="M159" s="3">
        <v>1.19</v>
      </c>
      <c r="N159" s="3">
        <v>1.44</v>
      </c>
      <c r="O159" s="3">
        <v>15</v>
      </c>
      <c r="P159" s="3">
        <v>14</v>
      </c>
      <c r="Q159" s="10">
        <f t="shared" ca="1" si="6"/>
        <v>42487</v>
      </c>
      <c r="R159" s="10">
        <f t="shared" ca="1" si="7"/>
        <v>42524</v>
      </c>
      <c r="S159" s="11">
        <f t="shared" ca="1" si="8"/>
        <v>0.1111111111111111</v>
      </c>
      <c r="T159" s="10"/>
    </row>
    <row r="160" spans="2:20" x14ac:dyDescent="0.2">
      <c r="B160" s="5" t="s">
        <v>1435</v>
      </c>
      <c r="C160" s="3" t="s">
        <v>9</v>
      </c>
      <c r="D160" s="3" t="s">
        <v>9</v>
      </c>
      <c r="E160" s="3" t="s">
        <v>9</v>
      </c>
      <c r="F160" s="3" t="s">
        <v>9</v>
      </c>
      <c r="G160" s="3" t="s">
        <v>9</v>
      </c>
      <c r="H160" s="3" t="s">
        <v>9</v>
      </c>
      <c r="I160" s="3">
        <v>140</v>
      </c>
      <c r="J160" s="5" t="s">
        <v>1436</v>
      </c>
      <c r="K160" s="3">
        <v>1.7</v>
      </c>
      <c r="L160" s="3">
        <v>0.5</v>
      </c>
      <c r="M160" s="3">
        <v>1.69</v>
      </c>
      <c r="N160" s="3">
        <v>1.84</v>
      </c>
      <c r="O160" s="3">
        <v>3</v>
      </c>
      <c r="P160" s="3">
        <v>13</v>
      </c>
      <c r="Q160" s="10">
        <f t="shared" ca="1" si="6"/>
        <v>42487</v>
      </c>
      <c r="R160" s="10">
        <f t="shared" ca="1" si="7"/>
        <v>42524</v>
      </c>
      <c r="S160" s="11">
        <f t="shared" ca="1" si="8"/>
        <v>0.1111111111111111</v>
      </c>
      <c r="T160" s="10"/>
    </row>
    <row r="161" spans="2:20" x14ac:dyDescent="0.2">
      <c r="B161" s="5" t="s">
        <v>1437</v>
      </c>
      <c r="C161" s="3">
        <v>8.8000000000000007</v>
      </c>
      <c r="D161" s="3">
        <v>0</v>
      </c>
      <c r="E161" s="3">
        <v>7.05</v>
      </c>
      <c r="F161" s="3">
        <v>8.9</v>
      </c>
      <c r="G161" s="3">
        <v>1</v>
      </c>
      <c r="H161" s="3">
        <v>1</v>
      </c>
      <c r="I161" s="3">
        <v>141</v>
      </c>
      <c r="J161" s="5" t="s">
        <v>1438</v>
      </c>
      <c r="K161" s="3">
        <v>1.2</v>
      </c>
      <c r="L161" s="3">
        <v>0</v>
      </c>
      <c r="M161" s="3">
        <v>1.95</v>
      </c>
      <c r="N161" s="3">
        <v>2.13</v>
      </c>
      <c r="O161" s="3">
        <v>5</v>
      </c>
      <c r="P161" s="3">
        <v>6</v>
      </c>
      <c r="Q161" s="10">
        <f t="shared" ca="1" si="6"/>
        <v>42487</v>
      </c>
      <c r="R161" s="10">
        <f t="shared" ca="1" si="7"/>
        <v>42524</v>
      </c>
      <c r="S161" s="11">
        <f t="shared" ca="1" si="8"/>
        <v>0.1111111111111111</v>
      </c>
      <c r="T161" s="10"/>
    </row>
    <row r="162" spans="2:20" x14ac:dyDescent="0.2">
      <c r="B162" s="5" t="s">
        <v>1439</v>
      </c>
      <c r="C162" s="3" t="s">
        <v>9</v>
      </c>
      <c r="D162" s="3" t="s">
        <v>9</v>
      </c>
      <c r="E162" s="3" t="s">
        <v>9</v>
      </c>
      <c r="F162" s="3" t="s">
        <v>9</v>
      </c>
      <c r="G162" s="3" t="s">
        <v>9</v>
      </c>
      <c r="H162" s="3" t="s">
        <v>9</v>
      </c>
      <c r="I162" s="3">
        <v>142</v>
      </c>
      <c r="J162" s="5" t="s">
        <v>1440</v>
      </c>
      <c r="K162" s="3">
        <v>1.4</v>
      </c>
      <c r="L162" s="3">
        <v>0</v>
      </c>
      <c r="M162" s="3">
        <v>2.2599999999999998</v>
      </c>
      <c r="N162" s="3">
        <v>2.44</v>
      </c>
      <c r="O162" s="3">
        <v>2</v>
      </c>
      <c r="P162" s="3">
        <v>8</v>
      </c>
      <c r="Q162" s="10">
        <f t="shared" ca="1" si="6"/>
        <v>42487</v>
      </c>
      <c r="R162" s="10">
        <f t="shared" ca="1" si="7"/>
        <v>42524</v>
      </c>
      <c r="S162" s="11">
        <f t="shared" ca="1" si="8"/>
        <v>0.1111111111111111</v>
      </c>
      <c r="T162" s="10"/>
    </row>
    <row r="163" spans="2:20" x14ac:dyDescent="0.2">
      <c r="B163" s="5" t="s">
        <v>1441</v>
      </c>
      <c r="C163" s="3">
        <v>7.14</v>
      </c>
      <c r="D163" s="3">
        <v>0</v>
      </c>
      <c r="E163" s="3">
        <v>4.25</v>
      </c>
      <c r="F163" s="3">
        <v>4.5999999999999996</v>
      </c>
      <c r="G163" s="3">
        <v>1</v>
      </c>
      <c r="H163" s="3">
        <v>1</v>
      </c>
      <c r="I163" s="3">
        <v>143</v>
      </c>
      <c r="J163" s="5" t="s">
        <v>1442</v>
      </c>
      <c r="K163" s="3" t="s">
        <v>9</v>
      </c>
      <c r="L163" s="3" t="s">
        <v>9</v>
      </c>
      <c r="M163" s="3" t="s">
        <v>9</v>
      </c>
      <c r="N163" s="3" t="s">
        <v>9</v>
      </c>
      <c r="O163" s="3" t="s">
        <v>9</v>
      </c>
      <c r="P163" s="3" t="s">
        <v>9</v>
      </c>
      <c r="Q163" s="10">
        <f t="shared" ca="1" si="6"/>
        <v>42487</v>
      </c>
      <c r="R163" s="10">
        <f t="shared" ca="1" si="7"/>
        <v>42524</v>
      </c>
      <c r="S163" s="11">
        <f t="shared" ca="1" si="8"/>
        <v>0.1111111111111111</v>
      </c>
      <c r="T163" s="10"/>
    </row>
    <row r="164" spans="2:20" x14ac:dyDescent="0.2">
      <c r="B164" s="5" t="s">
        <v>1443</v>
      </c>
      <c r="C164" s="3" t="s">
        <v>9</v>
      </c>
      <c r="D164" s="3" t="s">
        <v>9</v>
      </c>
      <c r="E164" s="3" t="s">
        <v>9</v>
      </c>
      <c r="F164" s="3" t="s">
        <v>9</v>
      </c>
      <c r="G164" s="3" t="s">
        <v>9</v>
      </c>
      <c r="H164" s="3" t="s">
        <v>9</v>
      </c>
      <c r="I164" s="3">
        <v>144</v>
      </c>
      <c r="J164" s="5" t="s">
        <v>1444</v>
      </c>
      <c r="K164" s="3">
        <v>3.65</v>
      </c>
      <c r="L164" s="3">
        <v>1.38</v>
      </c>
      <c r="M164" s="3">
        <v>3</v>
      </c>
      <c r="N164" s="3">
        <v>3.2</v>
      </c>
      <c r="O164" s="3">
        <v>2</v>
      </c>
      <c r="P164" s="3">
        <v>8</v>
      </c>
      <c r="Q164" s="10">
        <f t="shared" ca="1" si="6"/>
        <v>42487</v>
      </c>
      <c r="R164" s="10">
        <f t="shared" ca="1" si="7"/>
        <v>42524</v>
      </c>
      <c r="S164" s="11">
        <f t="shared" ca="1" si="8"/>
        <v>0.1111111111111111</v>
      </c>
      <c r="T164" s="10"/>
    </row>
    <row r="165" spans="2:20" x14ac:dyDescent="0.2">
      <c r="B165" s="5" t="s">
        <v>1445</v>
      </c>
      <c r="C165" s="3">
        <v>5.8</v>
      </c>
      <c r="D165" s="3">
        <v>0</v>
      </c>
      <c r="E165" s="3">
        <v>3.1</v>
      </c>
      <c r="F165" s="3">
        <v>3.4</v>
      </c>
      <c r="G165" s="3">
        <v>4</v>
      </c>
      <c r="H165" s="3">
        <v>4</v>
      </c>
      <c r="I165" s="3">
        <v>145</v>
      </c>
      <c r="J165" s="5" t="s">
        <v>1446</v>
      </c>
      <c r="K165" s="3">
        <v>4.22</v>
      </c>
      <c r="L165" s="3">
        <v>1.25</v>
      </c>
      <c r="M165" s="3">
        <v>3.45</v>
      </c>
      <c r="N165" s="3">
        <v>3.7</v>
      </c>
      <c r="O165" s="3">
        <v>75</v>
      </c>
      <c r="P165" s="3">
        <v>10</v>
      </c>
      <c r="Q165" s="10">
        <f t="shared" ca="1" si="6"/>
        <v>42487</v>
      </c>
      <c r="R165" s="10">
        <f t="shared" ca="1" si="7"/>
        <v>42524</v>
      </c>
      <c r="S165" s="11">
        <f t="shared" ca="1" si="8"/>
        <v>0.1111111111111111</v>
      </c>
      <c r="T165" s="10"/>
    </row>
    <row r="166" spans="2:20" x14ac:dyDescent="0.2">
      <c r="B166" s="5" t="s">
        <v>1447</v>
      </c>
      <c r="C166" s="3">
        <v>2.52</v>
      </c>
      <c r="D166" s="3">
        <v>-0.73</v>
      </c>
      <c r="E166" s="3">
        <v>2.67</v>
      </c>
      <c r="F166" s="3">
        <v>2.85</v>
      </c>
      <c r="G166" s="3">
        <v>1</v>
      </c>
      <c r="H166" s="3">
        <v>3</v>
      </c>
      <c r="I166" s="3">
        <v>146</v>
      </c>
      <c r="J166" s="5" t="s">
        <v>1448</v>
      </c>
      <c r="K166" s="3">
        <v>2.0299999999999998</v>
      </c>
      <c r="L166" s="3">
        <v>0</v>
      </c>
      <c r="M166" s="3">
        <v>3.8</v>
      </c>
      <c r="N166" s="3">
        <v>4.25</v>
      </c>
      <c r="O166" s="3">
        <v>3</v>
      </c>
      <c r="P166" s="3">
        <v>28</v>
      </c>
      <c r="Q166" s="10">
        <f t="shared" ca="1" si="6"/>
        <v>42487</v>
      </c>
      <c r="R166" s="10">
        <f t="shared" ca="1" si="7"/>
        <v>42524</v>
      </c>
      <c r="S166" s="11">
        <f t="shared" ca="1" si="8"/>
        <v>0.1111111111111111</v>
      </c>
      <c r="T166" s="10"/>
    </row>
    <row r="167" spans="2:20" x14ac:dyDescent="0.2">
      <c r="B167" s="5" t="s">
        <v>1449</v>
      </c>
      <c r="C167" s="3">
        <v>2.27</v>
      </c>
      <c r="D167" s="3">
        <v>-1.58</v>
      </c>
      <c r="E167" s="3">
        <v>2.2200000000000002</v>
      </c>
      <c r="F167" s="3">
        <v>2.41</v>
      </c>
      <c r="G167" s="3">
        <v>1</v>
      </c>
      <c r="H167" s="3">
        <v>15</v>
      </c>
      <c r="I167" s="3">
        <v>147</v>
      </c>
      <c r="J167" s="5" t="s">
        <v>1450</v>
      </c>
      <c r="K167" s="3">
        <v>3.55</v>
      </c>
      <c r="L167" s="3">
        <v>0</v>
      </c>
      <c r="M167" s="3">
        <v>3.3</v>
      </c>
      <c r="N167" s="3">
        <v>3.5</v>
      </c>
      <c r="O167" s="3">
        <v>20</v>
      </c>
      <c r="P167" s="3">
        <v>0</v>
      </c>
      <c r="Q167" s="10">
        <f t="shared" ca="1" si="6"/>
        <v>42487</v>
      </c>
      <c r="R167" s="10">
        <f t="shared" ca="1" si="7"/>
        <v>42524</v>
      </c>
      <c r="S167" s="11">
        <f t="shared" ca="1" si="8"/>
        <v>0.1111111111111111</v>
      </c>
      <c r="T167" s="10"/>
    </row>
    <row r="168" spans="2:20" x14ac:dyDescent="0.2">
      <c r="B168" s="5" t="s">
        <v>1451</v>
      </c>
      <c r="C168" s="3">
        <v>2.68</v>
      </c>
      <c r="D168" s="3">
        <v>0</v>
      </c>
      <c r="E168" s="3">
        <v>1.84</v>
      </c>
      <c r="F168" s="3">
        <v>2.0099999999999998</v>
      </c>
      <c r="G168" s="3">
        <v>1</v>
      </c>
      <c r="H168" s="3">
        <v>11</v>
      </c>
      <c r="I168" s="3">
        <v>148</v>
      </c>
      <c r="J168" s="5" t="s">
        <v>1452</v>
      </c>
      <c r="K168" s="3">
        <v>6.18</v>
      </c>
      <c r="L168" s="3">
        <v>3.23</v>
      </c>
      <c r="M168" s="3">
        <v>4.95</v>
      </c>
      <c r="N168" s="3">
        <v>5.45</v>
      </c>
      <c r="O168" s="3">
        <v>1</v>
      </c>
      <c r="P168" s="3">
        <v>6</v>
      </c>
      <c r="Q168" s="10">
        <f t="shared" ca="1" si="6"/>
        <v>42487</v>
      </c>
      <c r="R168" s="10">
        <f t="shared" ca="1" si="7"/>
        <v>42524</v>
      </c>
      <c r="S168" s="11">
        <f t="shared" ca="1" si="8"/>
        <v>0.1111111111111111</v>
      </c>
      <c r="T168" s="10"/>
    </row>
    <row r="169" spans="2:20" x14ac:dyDescent="0.2">
      <c r="B169" s="5" t="s">
        <v>1453</v>
      </c>
      <c r="C169" s="3">
        <v>1.24</v>
      </c>
      <c r="D169" s="3">
        <v>-1.51</v>
      </c>
      <c r="E169" s="3">
        <v>1.48</v>
      </c>
      <c r="F169" s="3">
        <v>1.66</v>
      </c>
      <c r="G169" s="3">
        <v>1</v>
      </c>
      <c r="H169" s="3">
        <v>144</v>
      </c>
      <c r="I169" s="3">
        <v>149</v>
      </c>
      <c r="J169" s="5" t="s">
        <v>1454</v>
      </c>
      <c r="K169" s="3">
        <v>6.78</v>
      </c>
      <c r="L169" s="3">
        <v>2.73</v>
      </c>
      <c r="M169" s="3">
        <v>5.55</v>
      </c>
      <c r="N169" s="3">
        <v>6.1</v>
      </c>
      <c r="O169" s="3">
        <v>3</v>
      </c>
      <c r="P169" s="3">
        <v>57</v>
      </c>
      <c r="Q169" s="10">
        <f t="shared" ca="1" si="6"/>
        <v>42487</v>
      </c>
      <c r="R169" s="10">
        <f t="shared" ca="1" si="7"/>
        <v>42524</v>
      </c>
      <c r="S169" s="11">
        <f t="shared" ca="1" si="8"/>
        <v>0.1111111111111111</v>
      </c>
      <c r="T169" s="10"/>
    </row>
    <row r="170" spans="2:20" x14ac:dyDescent="0.2">
      <c r="B170" s="5" t="s">
        <v>1455</v>
      </c>
      <c r="C170" s="3">
        <v>1.25</v>
      </c>
      <c r="D170" s="3">
        <v>-1.58</v>
      </c>
      <c r="E170" s="3">
        <v>1.21</v>
      </c>
      <c r="F170" s="3">
        <v>1.35</v>
      </c>
      <c r="G170" s="3">
        <v>1</v>
      </c>
      <c r="H170" s="3">
        <v>6</v>
      </c>
      <c r="I170" s="3">
        <v>150</v>
      </c>
      <c r="J170" s="5" t="s">
        <v>1456</v>
      </c>
      <c r="K170" s="3">
        <v>4.8499999999999996</v>
      </c>
      <c r="L170" s="3">
        <v>-0.2</v>
      </c>
      <c r="M170" s="3">
        <v>4.6500000000000004</v>
      </c>
      <c r="N170" s="3">
        <v>5.05</v>
      </c>
      <c r="O170" s="3">
        <v>54</v>
      </c>
      <c r="P170" s="3">
        <v>20</v>
      </c>
      <c r="Q170" s="10">
        <f t="shared" ca="1" si="6"/>
        <v>42487</v>
      </c>
      <c r="R170" s="10">
        <f t="shared" ca="1" si="7"/>
        <v>42524</v>
      </c>
      <c r="S170" s="11">
        <f t="shared" ca="1" si="8"/>
        <v>0.1111111111111111</v>
      </c>
      <c r="T170" s="10"/>
    </row>
    <row r="171" spans="2:20" x14ac:dyDescent="0.2">
      <c r="B171" s="5" t="s">
        <v>1457</v>
      </c>
      <c r="C171" s="3">
        <v>0.64</v>
      </c>
      <c r="D171" s="3">
        <v>-0.81</v>
      </c>
      <c r="E171" s="3">
        <v>0.64</v>
      </c>
      <c r="F171" s="3">
        <v>0.84</v>
      </c>
      <c r="G171" s="3">
        <v>25</v>
      </c>
      <c r="H171" s="3">
        <v>21</v>
      </c>
      <c r="I171" s="3">
        <v>152.5</v>
      </c>
      <c r="J171" s="5" t="s">
        <v>1458</v>
      </c>
      <c r="K171" s="3">
        <v>6.74</v>
      </c>
      <c r="L171" s="3">
        <v>0</v>
      </c>
      <c r="M171" s="3">
        <v>6.35</v>
      </c>
      <c r="N171" s="3">
        <v>7.15</v>
      </c>
      <c r="O171" s="3">
        <v>10</v>
      </c>
      <c r="P171" s="3">
        <v>0</v>
      </c>
      <c r="Q171" s="10">
        <f t="shared" ca="1" si="6"/>
        <v>42487</v>
      </c>
      <c r="R171" s="10">
        <f t="shared" ca="1" si="7"/>
        <v>42524</v>
      </c>
      <c r="S171" s="11">
        <f t="shared" ca="1" si="8"/>
        <v>0.1111111111111111</v>
      </c>
      <c r="T171" s="10"/>
    </row>
    <row r="172" spans="2:20" x14ac:dyDescent="0.2">
      <c r="B172" s="5" t="s">
        <v>1459</v>
      </c>
      <c r="C172" s="3">
        <v>0.35</v>
      </c>
      <c r="D172" s="3">
        <v>-0.69</v>
      </c>
      <c r="E172" s="3">
        <v>0.33</v>
      </c>
      <c r="F172" s="3">
        <v>0.49</v>
      </c>
      <c r="G172" s="3">
        <v>11</v>
      </c>
      <c r="H172" s="3">
        <v>64</v>
      </c>
      <c r="I172" s="3">
        <v>155</v>
      </c>
      <c r="J172" s="5" t="s">
        <v>1460</v>
      </c>
      <c r="K172" s="3" t="s">
        <v>9</v>
      </c>
      <c r="L172" s="3" t="s">
        <v>9</v>
      </c>
      <c r="M172" s="3" t="s">
        <v>9</v>
      </c>
      <c r="N172" s="3" t="s">
        <v>9</v>
      </c>
      <c r="O172" s="3" t="s">
        <v>9</v>
      </c>
      <c r="P172" s="3" t="s">
        <v>9</v>
      </c>
      <c r="Q172" s="10">
        <f t="shared" ca="1" si="6"/>
        <v>42487</v>
      </c>
      <c r="R172" s="10">
        <f t="shared" ca="1" si="7"/>
        <v>42524</v>
      </c>
      <c r="S172" s="11">
        <f t="shared" ca="1" si="8"/>
        <v>0.1111111111111111</v>
      </c>
      <c r="T172" s="10"/>
    </row>
    <row r="173" spans="2:20" x14ac:dyDescent="0.2">
      <c r="B173" s="5" t="s">
        <v>1461</v>
      </c>
      <c r="C173" s="3">
        <v>0.2</v>
      </c>
      <c r="D173" s="3">
        <v>-0.44</v>
      </c>
      <c r="E173" s="3">
        <v>0.1</v>
      </c>
      <c r="F173" s="3">
        <v>0.28000000000000003</v>
      </c>
      <c r="G173" s="3">
        <v>15</v>
      </c>
      <c r="H173" s="3">
        <v>31</v>
      </c>
      <c r="I173" s="3">
        <v>157.5</v>
      </c>
      <c r="J173" s="5" t="s">
        <v>1462</v>
      </c>
      <c r="K173" s="3" t="s">
        <v>9</v>
      </c>
      <c r="L173" s="3" t="s">
        <v>9</v>
      </c>
      <c r="M173" s="3" t="s">
        <v>9</v>
      </c>
      <c r="N173" s="3" t="s">
        <v>9</v>
      </c>
      <c r="O173" s="3" t="s">
        <v>9</v>
      </c>
      <c r="P173" s="3" t="s">
        <v>9</v>
      </c>
      <c r="Q173" s="10">
        <f t="shared" ca="1" si="6"/>
        <v>42487</v>
      </c>
      <c r="R173" s="10">
        <f t="shared" ca="1" si="7"/>
        <v>42524</v>
      </c>
      <c r="S173" s="11">
        <f t="shared" ca="1" si="8"/>
        <v>0.1111111111111111</v>
      </c>
      <c r="T173" s="10"/>
    </row>
    <row r="174" spans="2:20" x14ac:dyDescent="0.2">
      <c r="B174" s="5" t="s">
        <v>1463</v>
      </c>
      <c r="C174" s="3">
        <v>0.28000000000000003</v>
      </c>
      <c r="D174" s="3">
        <v>0</v>
      </c>
      <c r="E174" s="3">
        <v>0.04</v>
      </c>
      <c r="F174" s="3">
        <v>0.17</v>
      </c>
      <c r="G174" s="3">
        <v>2</v>
      </c>
      <c r="H174" s="3">
        <v>4</v>
      </c>
      <c r="I174" s="3">
        <v>160</v>
      </c>
      <c r="J174" s="5" t="s">
        <v>1464</v>
      </c>
      <c r="K174" s="3" t="s">
        <v>9</v>
      </c>
      <c r="L174" s="3" t="s">
        <v>9</v>
      </c>
      <c r="M174" s="3" t="s">
        <v>9</v>
      </c>
      <c r="N174" s="3" t="s">
        <v>9</v>
      </c>
      <c r="O174" s="3" t="s">
        <v>9</v>
      </c>
      <c r="P174" s="3" t="s">
        <v>9</v>
      </c>
      <c r="Q174" s="10">
        <f t="shared" ca="1" si="6"/>
        <v>42487</v>
      </c>
      <c r="R174" s="10">
        <f t="shared" ca="1" si="7"/>
        <v>42524</v>
      </c>
      <c r="S174" s="11">
        <f t="shared" ca="1" si="8"/>
        <v>0.1111111111111111</v>
      </c>
      <c r="T174" s="10"/>
    </row>
    <row r="175" spans="2:20" x14ac:dyDescent="0.2">
      <c r="B175" s="5" t="s">
        <v>1465</v>
      </c>
      <c r="C175" s="3">
        <v>0.23</v>
      </c>
      <c r="D175" s="3">
        <v>0</v>
      </c>
      <c r="E175" s="3">
        <v>0.1</v>
      </c>
      <c r="F175" s="3">
        <v>0.38</v>
      </c>
      <c r="G175" s="3">
        <v>2</v>
      </c>
      <c r="H175" s="3">
        <v>0</v>
      </c>
      <c r="I175" s="3">
        <v>162.5</v>
      </c>
      <c r="J175" s="5" t="s">
        <v>1466</v>
      </c>
      <c r="K175" s="3" t="s">
        <v>9</v>
      </c>
      <c r="L175" s="3" t="s">
        <v>9</v>
      </c>
      <c r="M175" s="3" t="s">
        <v>9</v>
      </c>
      <c r="N175" s="3" t="s">
        <v>9</v>
      </c>
      <c r="O175" s="3" t="s">
        <v>9</v>
      </c>
      <c r="P175" s="3" t="s">
        <v>9</v>
      </c>
      <c r="Q175" s="10">
        <f t="shared" ca="1" si="6"/>
        <v>42487</v>
      </c>
      <c r="R175" s="10">
        <f t="shared" ca="1" si="7"/>
        <v>42524</v>
      </c>
      <c r="S175" s="11">
        <f t="shared" ca="1" si="8"/>
        <v>0.1111111111111111</v>
      </c>
      <c r="T175" s="10"/>
    </row>
    <row r="176" spans="2:20" x14ac:dyDescent="0.2">
      <c r="B176" s="5" t="s">
        <v>1467</v>
      </c>
      <c r="C176" s="3">
        <v>0.13</v>
      </c>
      <c r="D176" s="3">
        <v>0</v>
      </c>
      <c r="E176" s="3">
        <v>0.02</v>
      </c>
      <c r="F176" s="3">
        <v>0.13</v>
      </c>
      <c r="G176" s="3">
        <v>3</v>
      </c>
      <c r="H176" s="3">
        <v>0</v>
      </c>
      <c r="I176" s="3">
        <v>165</v>
      </c>
      <c r="J176" s="5" t="s">
        <v>1468</v>
      </c>
      <c r="K176" s="3" t="s">
        <v>9</v>
      </c>
      <c r="L176" s="3" t="s">
        <v>9</v>
      </c>
      <c r="M176" s="3" t="s">
        <v>9</v>
      </c>
      <c r="N176" s="3" t="s">
        <v>9</v>
      </c>
      <c r="O176" s="3" t="s">
        <v>9</v>
      </c>
      <c r="P176" s="3" t="s">
        <v>9</v>
      </c>
      <c r="Q176" s="10">
        <f t="shared" ca="1" si="6"/>
        <v>42487</v>
      </c>
      <c r="R176" s="10">
        <f t="shared" ca="1" si="7"/>
        <v>42524</v>
      </c>
      <c r="S176" s="11">
        <f t="shared" ca="1" si="8"/>
        <v>0.1111111111111111</v>
      </c>
      <c r="T176" s="10"/>
    </row>
    <row r="177" spans="2:20" x14ac:dyDescent="0.2">
      <c r="B177" s="5" t="s">
        <v>1469</v>
      </c>
      <c r="C177" s="3" t="s">
        <v>9</v>
      </c>
      <c r="D177" s="3" t="s">
        <v>9</v>
      </c>
      <c r="E177" s="3" t="s">
        <v>9</v>
      </c>
      <c r="F177" s="3" t="s">
        <v>9</v>
      </c>
      <c r="G177" s="3" t="s">
        <v>9</v>
      </c>
      <c r="H177" s="3" t="s">
        <v>9</v>
      </c>
      <c r="I177" s="3">
        <v>135</v>
      </c>
      <c r="J177" s="5" t="s">
        <v>1470</v>
      </c>
      <c r="K177" s="3">
        <v>1</v>
      </c>
      <c r="L177" s="3">
        <v>0</v>
      </c>
      <c r="M177" s="3">
        <v>0.95</v>
      </c>
      <c r="N177" s="3">
        <v>1.1499999999999999</v>
      </c>
      <c r="O177" s="3">
        <v>1</v>
      </c>
      <c r="P177" s="3">
        <v>0</v>
      </c>
      <c r="Q177" s="10">
        <f t="shared" ca="1" si="6"/>
        <v>42487</v>
      </c>
      <c r="R177" s="10">
        <f t="shared" ca="1" si="7"/>
        <v>42531</v>
      </c>
      <c r="S177" s="11">
        <f t="shared" ca="1" si="8"/>
        <v>0.13095238095238096</v>
      </c>
      <c r="T177" s="10"/>
    </row>
    <row r="178" spans="2:20" x14ac:dyDescent="0.2">
      <c r="B178" s="5" t="s">
        <v>1471</v>
      </c>
      <c r="C178" s="3" t="s">
        <v>9</v>
      </c>
      <c r="D178" s="3" t="s">
        <v>9</v>
      </c>
      <c r="E178" s="3" t="s">
        <v>9</v>
      </c>
      <c r="F178" s="3" t="s">
        <v>9</v>
      </c>
      <c r="G178" s="3" t="s">
        <v>9</v>
      </c>
      <c r="H178" s="3" t="s">
        <v>9</v>
      </c>
      <c r="I178" s="3">
        <v>138</v>
      </c>
      <c r="J178" s="5" t="s">
        <v>1472</v>
      </c>
      <c r="K178" s="3">
        <v>1.24</v>
      </c>
      <c r="L178" s="3">
        <v>0</v>
      </c>
      <c r="M178" s="3">
        <v>1.47</v>
      </c>
      <c r="N178" s="3">
        <v>1.65</v>
      </c>
      <c r="O178" s="3">
        <v>1</v>
      </c>
      <c r="P178" s="3">
        <v>1</v>
      </c>
      <c r="Q178" s="10">
        <f t="shared" ca="1" si="6"/>
        <v>42487</v>
      </c>
      <c r="R178" s="10">
        <f t="shared" ca="1" si="7"/>
        <v>42531</v>
      </c>
      <c r="S178" s="11">
        <f t="shared" ca="1" si="8"/>
        <v>0.13095238095238096</v>
      </c>
      <c r="T178" s="10"/>
    </row>
    <row r="179" spans="2:20" x14ac:dyDescent="0.2">
      <c r="B179" s="5" t="s">
        <v>1473</v>
      </c>
      <c r="C179" s="3" t="s">
        <v>9</v>
      </c>
      <c r="D179" s="3" t="s">
        <v>9</v>
      </c>
      <c r="E179" s="3" t="s">
        <v>9</v>
      </c>
      <c r="F179" s="3" t="s">
        <v>9</v>
      </c>
      <c r="G179" s="3" t="s">
        <v>9</v>
      </c>
      <c r="H179" s="3" t="s">
        <v>9</v>
      </c>
      <c r="I179" s="3">
        <v>139</v>
      </c>
      <c r="J179" s="5" t="s">
        <v>1474</v>
      </c>
      <c r="K179" s="3">
        <v>2.02</v>
      </c>
      <c r="L179" s="3">
        <v>0</v>
      </c>
      <c r="M179" s="3">
        <v>1.7</v>
      </c>
      <c r="N179" s="3">
        <v>1.9</v>
      </c>
      <c r="O179" s="3">
        <v>1</v>
      </c>
      <c r="P179" s="3">
        <v>1</v>
      </c>
      <c r="Q179" s="10">
        <f t="shared" ca="1" si="6"/>
        <v>42487</v>
      </c>
      <c r="R179" s="10">
        <f t="shared" ca="1" si="7"/>
        <v>42531</v>
      </c>
      <c r="S179" s="11">
        <f t="shared" ca="1" si="8"/>
        <v>0.13095238095238096</v>
      </c>
      <c r="T179" s="10"/>
    </row>
    <row r="180" spans="2:20" x14ac:dyDescent="0.2">
      <c r="B180" s="5" t="s">
        <v>1475</v>
      </c>
      <c r="C180" s="3" t="s">
        <v>9</v>
      </c>
      <c r="D180" s="3" t="s">
        <v>9</v>
      </c>
      <c r="E180" s="3" t="s">
        <v>9</v>
      </c>
      <c r="F180" s="3" t="s">
        <v>9</v>
      </c>
      <c r="G180" s="3" t="s">
        <v>9</v>
      </c>
      <c r="H180" s="3" t="s">
        <v>9</v>
      </c>
      <c r="I180" s="3">
        <v>140</v>
      </c>
      <c r="J180" s="5" t="s">
        <v>1476</v>
      </c>
      <c r="K180" s="3">
        <v>1.19</v>
      </c>
      <c r="L180" s="3">
        <v>0</v>
      </c>
      <c r="M180" s="3">
        <v>1.97</v>
      </c>
      <c r="N180" s="3">
        <v>2.16</v>
      </c>
      <c r="O180" s="3">
        <v>1</v>
      </c>
      <c r="P180" s="3">
        <v>1</v>
      </c>
      <c r="Q180" s="10">
        <f t="shared" ca="1" si="6"/>
        <v>42487</v>
      </c>
      <c r="R180" s="10">
        <f t="shared" ca="1" si="7"/>
        <v>42531</v>
      </c>
      <c r="S180" s="11">
        <f t="shared" ca="1" si="8"/>
        <v>0.13095238095238096</v>
      </c>
      <c r="T180" s="10"/>
    </row>
    <row r="181" spans="2:20" x14ac:dyDescent="0.2">
      <c r="B181" s="5" t="s">
        <v>1477</v>
      </c>
      <c r="C181" s="3">
        <v>5.38</v>
      </c>
      <c r="D181" s="3">
        <v>0</v>
      </c>
      <c r="E181" s="3">
        <v>5.75</v>
      </c>
      <c r="F181" s="3">
        <v>6.35</v>
      </c>
      <c r="G181" s="3">
        <v>10</v>
      </c>
      <c r="H181" s="3">
        <v>0</v>
      </c>
      <c r="I181" s="3">
        <v>141</v>
      </c>
      <c r="J181" s="5" t="s">
        <v>1478</v>
      </c>
      <c r="K181" s="3">
        <v>2.2000000000000002</v>
      </c>
      <c r="L181" s="3">
        <v>0</v>
      </c>
      <c r="M181" s="3">
        <v>2.2200000000000002</v>
      </c>
      <c r="N181" s="3">
        <v>2.46</v>
      </c>
      <c r="O181" s="3">
        <v>3</v>
      </c>
      <c r="P181" s="3">
        <v>0</v>
      </c>
      <c r="Q181" s="10">
        <f t="shared" ca="1" si="6"/>
        <v>42487</v>
      </c>
      <c r="R181" s="10">
        <f t="shared" ca="1" si="7"/>
        <v>42531</v>
      </c>
      <c r="S181" s="11">
        <f t="shared" ca="1" si="8"/>
        <v>0.13095238095238096</v>
      </c>
      <c r="T181" s="10"/>
    </row>
    <row r="182" spans="2:20" x14ac:dyDescent="0.2">
      <c r="B182" s="5" t="s">
        <v>1479</v>
      </c>
      <c r="C182" s="3" t="s">
        <v>9</v>
      </c>
      <c r="D182" s="3" t="s">
        <v>9</v>
      </c>
      <c r="E182" s="3" t="s">
        <v>9</v>
      </c>
      <c r="F182" s="3" t="s">
        <v>9</v>
      </c>
      <c r="G182" s="3" t="s">
        <v>9</v>
      </c>
      <c r="H182" s="3" t="s">
        <v>9</v>
      </c>
      <c r="I182" s="3">
        <v>142</v>
      </c>
      <c r="J182" s="5" t="s">
        <v>1480</v>
      </c>
      <c r="K182" s="3">
        <v>2.57</v>
      </c>
      <c r="L182" s="3">
        <v>0</v>
      </c>
      <c r="M182" s="3">
        <v>2.58</v>
      </c>
      <c r="N182" s="3">
        <v>2.77</v>
      </c>
      <c r="O182" s="3">
        <v>1</v>
      </c>
      <c r="P182" s="3">
        <v>0</v>
      </c>
      <c r="Q182" s="10">
        <f t="shared" ca="1" si="6"/>
        <v>42487</v>
      </c>
      <c r="R182" s="10">
        <f t="shared" ca="1" si="7"/>
        <v>42531</v>
      </c>
      <c r="S182" s="11">
        <f t="shared" ca="1" si="8"/>
        <v>0.13095238095238096</v>
      </c>
      <c r="T182" s="10"/>
    </row>
    <row r="183" spans="2:20" x14ac:dyDescent="0.2">
      <c r="B183" s="5" t="s">
        <v>1481</v>
      </c>
      <c r="C183" s="3">
        <v>5.65</v>
      </c>
      <c r="D183" s="3">
        <v>0</v>
      </c>
      <c r="E183" s="3">
        <v>4.4000000000000004</v>
      </c>
      <c r="F183" s="3">
        <v>4.95</v>
      </c>
      <c r="G183" s="3">
        <v>5</v>
      </c>
      <c r="H183" s="3">
        <v>5</v>
      </c>
      <c r="I183" s="3">
        <v>143</v>
      </c>
      <c r="J183" s="5" t="s">
        <v>1482</v>
      </c>
      <c r="K183" s="3">
        <v>2.94</v>
      </c>
      <c r="L183" s="3">
        <v>0</v>
      </c>
      <c r="M183" s="3">
        <v>2.9</v>
      </c>
      <c r="N183" s="3">
        <v>3.15</v>
      </c>
      <c r="O183" s="3">
        <v>2</v>
      </c>
      <c r="P183" s="3">
        <v>2</v>
      </c>
      <c r="Q183" s="10">
        <f t="shared" ca="1" si="6"/>
        <v>42487</v>
      </c>
      <c r="R183" s="10">
        <f t="shared" ca="1" si="7"/>
        <v>42531</v>
      </c>
      <c r="S183" s="11">
        <f t="shared" ca="1" si="8"/>
        <v>0.13095238095238096</v>
      </c>
      <c r="T183" s="10"/>
    </row>
    <row r="184" spans="2:20" x14ac:dyDescent="0.2">
      <c r="B184" s="5" t="s">
        <v>1483</v>
      </c>
      <c r="C184" s="3" t="s">
        <v>9</v>
      </c>
      <c r="D184" s="3" t="s">
        <v>9</v>
      </c>
      <c r="E184" s="3" t="s">
        <v>9</v>
      </c>
      <c r="F184" s="3" t="s">
        <v>9</v>
      </c>
      <c r="G184" s="3" t="s">
        <v>9</v>
      </c>
      <c r="H184" s="3" t="s">
        <v>9</v>
      </c>
      <c r="I184" s="3">
        <v>144</v>
      </c>
      <c r="J184" s="5" t="s">
        <v>1484</v>
      </c>
      <c r="K184" s="3">
        <v>3.25</v>
      </c>
      <c r="L184" s="3">
        <v>0</v>
      </c>
      <c r="M184" s="3">
        <v>3.35</v>
      </c>
      <c r="N184" s="3">
        <v>3.55</v>
      </c>
      <c r="O184" s="3">
        <v>1</v>
      </c>
      <c r="P184" s="3">
        <v>3</v>
      </c>
      <c r="Q184" s="10">
        <f t="shared" ca="1" si="6"/>
        <v>42487</v>
      </c>
      <c r="R184" s="10">
        <f t="shared" ca="1" si="7"/>
        <v>42531</v>
      </c>
      <c r="S184" s="11">
        <f t="shared" ca="1" si="8"/>
        <v>0.13095238095238096</v>
      </c>
      <c r="T184" s="10"/>
    </row>
    <row r="185" spans="2:20" x14ac:dyDescent="0.2">
      <c r="B185" s="5" t="s">
        <v>1485</v>
      </c>
      <c r="C185" s="3" t="s">
        <v>9</v>
      </c>
      <c r="D185" s="3" t="s">
        <v>9</v>
      </c>
      <c r="E185" s="3" t="s">
        <v>9</v>
      </c>
      <c r="F185" s="3" t="s">
        <v>9</v>
      </c>
      <c r="G185" s="3" t="s">
        <v>9</v>
      </c>
      <c r="H185" s="3" t="s">
        <v>9</v>
      </c>
      <c r="I185" s="3">
        <v>145</v>
      </c>
      <c r="J185" s="5" t="s">
        <v>1486</v>
      </c>
      <c r="K185" s="3">
        <v>2.92</v>
      </c>
      <c r="L185" s="3">
        <v>0</v>
      </c>
      <c r="M185" s="3">
        <v>3.65</v>
      </c>
      <c r="N185" s="3">
        <v>4</v>
      </c>
      <c r="O185" s="3">
        <v>3</v>
      </c>
      <c r="P185" s="3">
        <v>3</v>
      </c>
      <c r="Q185" s="10">
        <f t="shared" ca="1" si="6"/>
        <v>42487</v>
      </c>
      <c r="R185" s="10">
        <f t="shared" ca="1" si="7"/>
        <v>42531</v>
      </c>
      <c r="S185" s="11">
        <f t="shared" ca="1" si="8"/>
        <v>0.13095238095238096</v>
      </c>
      <c r="T185" s="10"/>
    </row>
    <row r="186" spans="2:20" x14ac:dyDescent="0.2">
      <c r="B186" s="5" t="s">
        <v>1487</v>
      </c>
      <c r="C186" s="3" t="s">
        <v>9</v>
      </c>
      <c r="D186" s="3" t="s">
        <v>9</v>
      </c>
      <c r="E186" s="3" t="s">
        <v>9</v>
      </c>
      <c r="F186" s="3" t="s">
        <v>9</v>
      </c>
      <c r="G186" s="3" t="s">
        <v>9</v>
      </c>
      <c r="H186" s="3" t="s">
        <v>9</v>
      </c>
      <c r="I186" s="3">
        <v>146</v>
      </c>
      <c r="J186" s="5" t="s">
        <v>1488</v>
      </c>
      <c r="K186" s="3">
        <v>4.63</v>
      </c>
      <c r="L186" s="3">
        <v>0</v>
      </c>
      <c r="M186" s="3">
        <v>4.0999999999999996</v>
      </c>
      <c r="N186" s="3">
        <v>4.55</v>
      </c>
      <c r="O186" s="3">
        <v>10</v>
      </c>
      <c r="P186" s="3">
        <v>0</v>
      </c>
      <c r="Q186" s="10">
        <f t="shared" ca="1" si="6"/>
        <v>42487</v>
      </c>
      <c r="R186" s="10">
        <f t="shared" ca="1" si="7"/>
        <v>42531</v>
      </c>
      <c r="S186" s="11">
        <f t="shared" ca="1" si="8"/>
        <v>0.13095238095238096</v>
      </c>
      <c r="T186" s="10"/>
    </row>
    <row r="187" spans="2:20" x14ac:dyDescent="0.2">
      <c r="B187" s="5" t="s">
        <v>1489</v>
      </c>
      <c r="C187" s="3">
        <v>3.44</v>
      </c>
      <c r="D187" s="3">
        <v>0</v>
      </c>
      <c r="E187" s="3">
        <v>2.3199999999999998</v>
      </c>
      <c r="F187" s="3">
        <v>2.71</v>
      </c>
      <c r="G187" s="3">
        <v>4</v>
      </c>
      <c r="H187" s="3">
        <v>4</v>
      </c>
      <c r="I187" s="3">
        <v>147</v>
      </c>
      <c r="J187" s="5" t="s">
        <v>1490</v>
      </c>
      <c r="K187" s="3" t="s">
        <v>9</v>
      </c>
      <c r="L187" s="3" t="s">
        <v>9</v>
      </c>
      <c r="M187" s="3" t="s">
        <v>9</v>
      </c>
      <c r="N187" s="3" t="s">
        <v>9</v>
      </c>
      <c r="O187" s="3" t="s">
        <v>9</v>
      </c>
      <c r="P187" s="3" t="s">
        <v>9</v>
      </c>
      <c r="Q187" s="10">
        <f t="shared" ca="1" si="6"/>
        <v>42487</v>
      </c>
      <c r="R187" s="10">
        <f t="shared" ca="1" si="7"/>
        <v>42531</v>
      </c>
      <c r="S187" s="11">
        <f t="shared" ca="1" si="8"/>
        <v>0.13095238095238096</v>
      </c>
      <c r="T187" s="10"/>
    </row>
    <row r="188" spans="2:20" x14ac:dyDescent="0.2">
      <c r="B188" s="5" t="s">
        <v>1491</v>
      </c>
      <c r="C188" s="3" t="s">
        <v>9</v>
      </c>
      <c r="D188" s="3" t="s">
        <v>9</v>
      </c>
      <c r="E188" s="3" t="s">
        <v>9</v>
      </c>
      <c r="F188" s="3" t="s">
        <v>9</v>
      </c>
      <c r="G188" s="3" t="s">
        <v>9</v>
      </c>
      <c r="H188" s="3" t="s">
        <v>9</v>
      </c>
      <c r="I188" s="3">
        <v>148</v>
      </c>
      <c r="J188" s="5" t="s">
        <v>1492</v>
      </c>
      <c r="K188" s="3">
        <v>5.44</v>
      </c>
      <c r="L188" s="3">
        <v>0</v>
      </c>
      <c r="M188" s="3">
        <v>5.2</v>
      </c>
      <c r="N188" s="3">
        <v>6</v>
      </c>
      <c r="O188" s="3">
        <v>2</v>
      </c>
      <c r="P188" s="3">
        <v>0</v>
      </c>
      <c r="Q188" s="10">
        <f t="shared" ca="1" si="6"/>
        <v>42487</v>
      </c>
      <c r="R188" s="10">
        <f t="shared" ca="1" si="7"/>
        <v>42531</v>
      </c>
      <c r="S188" s="11">
        <f t="shared" ca="1" si="8"/>
        <v>0.13095238095238096</v>
      </c>
      <c r="T188" s="10"/>
    </row>
    <row r="189" spans="2:20" x14ac:dyDescent="0.2">
      <c r="B189" s="5" t="s">
        <v>1493</v>
      </c>
      <c r="C189" s="3" t="s">
        <v>9</v>
      </c>
      <c r="D189" s="3" t="s">
        <v>9</v>
      </c>
      <c r="E189" s="3" t="s">
        <v>9</v>
      </c>
      <c r="F189" s="3" t="s">
        <v>9</v>
      </c>
      <c r="G189" s="3" t="s">
        <v>9</v>
      </c>
      <c r="H189" s="3" t="s">
        <v>9</v>
      </c>
      <c r="I189" s="3">
        <v>150</v>
      </c>
      <c r="J189" s="5" t="s">
        <v>1494</v>
      </c>
      <c r="K189" s="3">
        <v>7.19</v>
      </c>
      <c r="L189" s="3">
        <v>0</v>
      </c>
      <c r="M189" s="3">
        <v>6.45</v>
      </c>
      <c r="N189" s="3">
        <v>7.45</v>
      </c>
      <c r="O189" s="3">
        <v>10</v>
      </c>
      <c r="P189" s="3">
        <v>0</v>
      </c>
      <c r="Q189" s="10">
        <f t="shared" ca="1" si="6"/>
        <v>42487</v>
      </c>
      <c r="R189" s="10">
        <f t="shared" ca="1" si="7"/>
        <v>42531</v>
      </c>
      <c r="S189" s="11">
        <f t="shared" ca="1" si="8"/>
        <v>0.13095238095238096</v>
      </c>
      <c r="T189" s="10"/>
    </row>
    <row r="190" spans="2:20" x14ac:dyDescent="0.2">
      <c r="B190" s="5" t="s">
        <v>1495</v>
      </c>
      <c r="C190" s="3">
        <v>0.42</v>
      </c>
      <c r="D190" s="3">
        <v>0</v>
      </c>
      <c r="E190" s="3">
        <v>0.45</v>
      </c>
      <c r="F190" s="3">
        <v>0.64</v>
      </c>
      <c r="G190" s="3">
        <v>10</v>
      </c>
      <c r="H190" s="3">
        <v>0</v>
      </c>
      <c r="I190" s="3">
        <v>155</v>
      </c>
      <c r="J190" s="5" t="s">
        <v>1496</v>
      </c>
      <c r="K190" s="3" t="s">
        <v>9</v>
      </c>
      <c r="L190" s="3" t="s">
        <v>9</v>
      </c>
      <c r="M190" s="3" t="s">
        <v>9</v>
      </c>
      <c r="N190" s="3" t="s">
        <v>9</v>
      </c>
      <c r="O190" s="3" t="s">
        <v>9</v>
      </c>
      <c r="P190" s="3" t="s">
        <v>9</v>
      </c>
      <c r="Q190" s="10">
        <f t="shared" ca="1" si="6"/>
        <v>42487</v>
      </c>
      <c r="R190" s="10">
        <f t="shared" ca="1" si="7"/>
        <v>42531</v>
      </c>
      <c r="S190" s="11">
        <f t="shared" ca="1" si="8"/>
        <v>0.13095238095238096</v>
      </c>
      <c r="T190" s="10"/>
    </row>
    <row r="191" spans="2:20" x14ac:dyDescent="0.2">
      <c r="B191" s="5" t="s">
        <v>1497</v>
      </c>
      <c r="C191" s="3" t="s">
        <v>9</v>
      </c>
      <c r="D191" s="3" t="s">
        <v>9</v>
      </c>
      <c r="E191" s="3" t="s">
        <v>9</v>
      </c>
      <c r="F191" s="3" t="s">
        <v>9</v>
      </c>
      <c r="G191" s="3" t="s">
        <v>9</v>
      </c>
      <c r="H191" s="3" t="s">
        <v>9</v>
      </c>
      <c r="I191" s="3">
        <v>75</v>
      </c>
      <c r="J191" s="5" t="s">
        <v>1498</v>
      </c>
      <c r="K191" s="3">
        <v>0.01</v>
      </c>
      <c r="L191" s="3">
        <v>0</v>
      </c>
      <c r="M191" s="3">
        <v>0</v>
      </c>
      <c r="N191" s="3">
        <v>0.01</v>
      </c>
      <c r="O191" s="3">
        <v>0</v>
      </c>
      <c r="P191" s="3">
        <v>125</v>
      </c>
      <c r="Q191" s="10">
        <f t="shared" ca="1" si="6"/>
        <v>42487</v>
      </c>
      <c r="R191" s="10">
        <f t="shared" ca="1" si="7"/>
        <v>42538</v>
      </c>
      <c r="S191" s="11">
        <f t="shared" ca="1" si="8"/>
        <v>0.15079365079365079</v>
      </c>
      <c r="T191" s="10"/>
    </row>
    <row r="192" spans="2:20" x14ac:dyDescent="0.2">
      <c r="B192" s="5" t="s">
        <v>1499</v>
      </c>
      <c r="C192" s="3" t="s">
        <v>9</v>
      </c>
      <c r="D192" s="3" t="s">
        <v>9</v>
      </c>
      <c r="E192" s="3" t="s">
        <v>9</v>
      </c>
      <c r="F192" s="3" t="s">
        <v>9</v>
      </c>
      <c r="G192" s="3" t="s">
        <v>9</v>
      </c>
      <c r="H192" s="3" t="s">
        <v>9</v>
      </c>
      <c r="I192" s="3">
        <v>80</v>
      </c>
      <c r="J192" s="5" t="s">
        <v>1500</v>
      </c>
      <c r="K192" s="3">
        <v>0.01</v>
      </c>
      <c r="L192" s="3">
        <v>0</v>
      </c>
      <c r="M192" s="3">
        <v>0</v>
      </c>
      <c r="N192" s="3">
        <v>0.02</v>
      </c>
      <c r="O192" s="3">
        <v>0</v>
      </c>
      <c r="P192" s="3">
        <v>301</v>
      </c>
      <c r="Q192" s="10">
        <f t="shared" ca="1" si="6"/>
        <v>42487</v>
      </c>
      <c r="R192" s="10">
        <f t="shared" ca="1" si="7"/>
        <v>42538</v>
      </c>
      <c r="S192" s="11">
        <f t="shared" ca="1" si="8"/>
        <v>0.15079365079365079</v>
      </c>
      <c r="T192" s="10"/>
    </row>
    <row r="193" spans="2:20" x14ac:dyDescent="0.2">
      <c r="B193" s="5" t="s">
        <v>1501</v>
      </c>
      <c r="C193" s="3" t="s">
        <v>9</v>
      </c>
      <c r="D193" s="3" t="s">
        <v>9</v>
      </c>
      <c r="E193" s="3" t="s">
        <v>9</v>
      </c>
      <c r="F193" s="3" t="s">
        <v>9</v>
      </c>
      <c r="G193" s="3" t="s">
        <v>9</v>
      </c>
      <c r="H193" s="3" t="s">
        <v>9</v>
      </c>
      <c r="I193" s="3">
        <v>85</v>
      </c>
      <c r="J193" s="5" t="s">
        <v>1502</v>
      </c>
      <c r="K193" s="3">
        <v>0.03</v>
      </c>
      <c r="L193" s="3">
        <v>0</v>
      </c>
      <c r="M193" s="3">
        <v>0</v>
      </c>
      <c r="N193" s="3">
        <v>0.03</v>
      </c>
      <c r="O193" s="3">
        <v>0</v>
      </c>
      <c r="P193" s="3">
        <v>1702</v>
      </c>
      <c r="Q193" s="10">
        <f t="shared" ca="1" si="6"/>
        <v>42487</v>
      </c>
      <c r="R193" s="10">
        <f t="shared" ca="1" si="7"/>
        <v>42538</v>
      </c>
      <c r="S193" s="11">
        <f t="shared" ca="1" si="8"/>
        <v>0.15079365079365079</v>
      </c>
      <c r="T193" s="10"/>
    </row>
    <row r="194" spans="2:20" x14ac:dyDescent="0.2">
      <c r="B194" s="5" t="s">
        <v>1503</v>
      </c>
      <c r="C194" s="3" t="s">
        <v>9</v>
      </c>
      <c r="D194" s="3" t="s">
        <v>9</v>
      </c>
      <c r="E194" s="3" t="s">
        <v>9</v>
      </c>
      <c r="F194" s="3" t="s">
        <v>9</v>
      </c>
      <c r="G194" s="3" t="s">
        <v>9</v>
      </c>
      <c r="H194" s="3" t="s">
        <v>9</v>
      </c>
      <c r="I194" s="3">
        <v>90</v>
      </c>
      <c r="J194" s="5" t="s">
        <v>1504</v>
      </c>
      <c r="K194" s="3">
        <v>0.03</v>
      </c>
      <c r="L194" s="3">
        <v>0</v>
      </c>
      <c r="M194" s="3">
        <v>0</v>
      </c>
      <c r="N194" s="3">
        <v>0.03</v>
      </c>
      <c r="O194" s="3">
        <v>0</v>
      </c>
      <c r="P194" s="3">
        <v>1990</v>
      </c>
      <c r="Q194" s="10">
        <f t="shared" ca="1" si="6"/>
        <v>42487</v>
      </c>
      <c r="R194" s="10">
        <f t="shared" ca="1" si="7"/>
        <v>42538</v>
      </c>
      <c r="S194" s="11">
        <f t="shared" ca="1" si="8"/>
        <v>0.15079365079365079</v>
      </c>
      <c r="T194" s="10"/>
    </row>
    <row r="195" spans="2:20" x14ac:dyDescent="0.2">
      <c r="B195" s="5" t="s">
        <v>1505</v>
      </c>
      <c r="C195" s="3" t="s">
        <v>9</v>
      </c>
      <c r="D195" s="3" t="s">
        <v>9</v>
      </c>
      <c r="E195" s="3" t="s">
        <v>9</v>
      </c>
      <c r="F195" s="3" t="s">
        <v>9</v>
      </c>
      <c r="G195" s="3" t="s">
        <v>9</v>
      </c>
      <c r="H195" s="3" t="s">
        <v>9</v>
      </c>
      <c r="I195" s="3">
        <v>95</v>
      </c>
      <c r="J195" s="5" t="s">
        <v>1506</v>
      </c>
      <c r="K195" s="3">
        <v>0.04</v>
      </c>
      <c r="L195" s="3">
        <v>0</v>
      </c>
      <c r="M195" s="3">
        <v>0</v>
      </c>
      <c r="N195" s="3">
        <v>0.04</v>
      </c>
      <c r="O195" s="3">
        <v>0</v>
      </c>
      <c r="P195" s="3">
        <v>679</v>
      </c>
      <c r="Q195" s="10">
        <f t="shared" ca="1" si="6"/>
        <v>42487</v>
      </c>
      <c r="R195" s="10">
        <f t="shared" ca="1" si="7"/>
        <v>42538</v>
      </c>
      <c r="S195" s="11">
        <f t="shared" ca="1" si="8"/>
        <v>0.15079365079365079</v>
      </c>
      <c r="T195" s="10"/>
    </row>
    <row r="196" spans="2:20" x14ac:dyDescent="0.2">
      <c r="B196" s="5" t="s">
        <v>1507</v>
      </c>
      <c r="C196" s="3" t="s">
        <v>9</v>
      </c>
      <c r="D196" s="3" t="s">
        <v>9</v>
      </c>
      <c r="E196" s="3" t="s">
        <v>9</v>
      </c>
      <c r="F196" s="3" t="s">
        <v>9</v>
      </c>
      <c r="G196" s="3" t="s">
        <v>9</v>
      </c>
      <c r="H196" s="3" t="s">
        <v>9</v>
      </c>
      <c r="I196" s="3">
        <v>100</v>
      </c>
      <c r="J196" s="5" t="s">
        <v>1508</v>
      </c>
      <c r="K196" s="3">
        <v>0.03</v>
      </c>
      <c r="L196" s="3">
        <v>0</v>
      </c>
      <c r="M196" s="3">
        <v>0.04</v>
      </c>
      <c r="N196" s="3">
        <v>0.05</v>
      </c>
      <c r="O196" s="3">
        <v>23</v>
      </c>
      <c r="P196" s="3">
        <v>62</v>
      </c>
      <c r="Q196" s="10">
        <f t="shared" ca="1" si="6"/>
        <v>42487</v>
      </c>
      <c r="R196" s="10">
        <f t="shared" ca="1" si="7"/>
        <v>42538</v>
      </c>
      <c r="S196" s="11">
        <f t="shared" ca="1" si="8"/>
        <v>0.15079365079365079</v>
      </c>
      <c r="T196" s="10"/>
    </row>
    <row r="197" spans="2:20" x14ac:dyDescent="0.2">
      <c r="B197" s="5" t="s">
        <v>1509</v>
      </c>
      <c r="C197" s="3" t="s">
        <v>9</v>
      </c>
      <c r="D197" s="3" t="s">
        <v>9</v>
      </c>
      <c r="E197" s="3" t="s">
        <v>9</v>
      </c>
      <c r="F197" s="3" t="s">
        <v>9</v>
      </c>
      <c r="G197" s="3" t="s">
        <v>9</v>
      </c>
      <c r="H197" s="3" t="s">
        <v>9</v>
      </c>
      <c r="I197" s="3">
        <v>105</v>
      </c>
      <c r="J197" s="5" t="s">
        <v>1510</v>
      </c>
      <c r="K197" s="3">
        <v>0.05</v>
      </c>
      <c r="L197" s="3">
        <v>-0.03</v>
      </c>
      <c r="M197" s="3">
        <v>0.06</v>
      </c>
      <c r="N197" s="3">
        <v>0.08</v>
      </c>
      <c r="O197" s="3">
        <v>50</v>
      </c>
      <c r="P197" s="3">
        <v>168</v>
      </c>
      <c r="Q197" s="10">
        <f t="shared" ca="1" si="6"/>
        <v>42487</v>
      </c>
      <c r="R197" s="10">
        <f t="shared" ca="1" si="7"/>
        <v>42538</v>
      </c>
      <c r="S197" s="11">
        <f t="shared" ca="1" si="8"/>
        <v>0.15079365079365079</v>
      </c>
      <c r="T197" s="10"/>
    </row>
    <row r="198" spans="2:20" x14ac:dyDescent="0.2">
      <c r="B198" s="5" t="s">
        <v>1511</v>
      </c>
      <c r="C198" s="3" t="s">
        <v>9</v>
      </c>
      <c r="D198" s="3" t="s">
        <v>9</v>
      </c>
      <c r="E198" s="3" t="s">
        <v>9</v>
      </c>
      <c r="F198" s="3" t="s">
        <v>9</v>
      </c>
      <c r="G198" s="3" t="s">
        <v>9</v>
      </c>
      <c r="H198" s="3" t="s">
        <v>9</v>
      </c>
      <c r="I198" s="3">
        <v>110</v>
      </c>
      <c r="J198" s="5" t="s">
        <v>1512</v>
      </c>
      <c r="K198" s="3">
        <v>0.1</v>
      </c>
      <c r="L198" s="3">
        <v>0.03</v>
      </c>
      <c r="M198" s="3">
        <v>0.1</v>
      </c>
      <c r="N198" s="3">
        <v>0.13</v>
      </c>
      <c r="O198" s="3">
        <v>50</v>
      </c>
      <c r="P198" s="3">
        <v>256</v>
      </c>
      <c r="Q198" s="10">
        <f t="shared" ca="1" si="6"/>
        <v>42487</v>
      </c>
      <c r="R198" s="10">
        <f t="shared" ca="1" si="7"/>
        <v>42538</v>
      </c>
      <c r="S198" s="11">
        <f t="shared" ca="1" si="8"/>
        <v>0.15079365079365079</v>
      </c>
      <c r="T198" s="10"/>
    </row>
    <row r="199" spans="2:20" x14ac:dyDescent="0.2">
      <c r="B199" s="5" t="s">
        <v>1513</v>
      </c>
      <c r="C199" s="3" t="s">
        <v>9</v>
      </c>
      <c r="D199" s="3" t="s">
        <v>9</v>
      </c>
      <c r="E199" s="3" t="s">
        <v>9</v>
      </c>
      <c r="F199" s="3" t="s">
        <v>9</v>
      </c>
      <c r="G199" s="3" t="s">
        <v>9</v>
      </c>
      <c r="H199" s="3" t="s">
        <v>9</v>
      </c>
      <c r="I199" s="3">
        <v>115</v>
      </c>
      <c r="J199" s="5" t="s">
        <v>1514</v>
      </c>
      <c r="K199" s="3">
        <v>0.13</v>
      </c>
      <c r="L199" s="3">
        <v>-0.01</v>
      </c>
      <c r="M199" s="3">
        <v>0.11</v>
      </c>
      <c r="N199" s="3">
        <v>0.13</v>
      </c>
      <c r="O199" s="3">
        <v>15</v>
      </c>
      <c r="P199" s="3">
        <v>96</v>
      </c>
      <c r="Q199" s="10">
        <f t="shared" ref="Q199:Q262" ca="1" si="9">TODAY()</f>
        <v>42487</v>
      </c>
      <c r="R199" s="10">
        <f t="shared" ref="R199:R262" ca="1" si="10">DATE(MID(B199,$R$3+1,2)+100,MID(B199,$R$3+3,2),MID(B199,$R$3+5,2))</f>
        <v>42538</v>
      </c>
      <c r="S199" s="11">
        <f t="shared" ref="S199:S262" ca="1" si="11">NETWORKDAYS(Q199,R199)/252</f>
        <v>0.15079365079365079</v>
      </c>
      <c r="T199" s="10"/>
    </row>
    <row r="200" spans="2:20" x14ac:dyDescent="0.2">
      <c r="B200" s="5" t="s">
        <v>1515</v>
      </c>
      <c r="C200" s="3" t="s">
        <v>9</v>
      </c>
      <c r="D200" s="3" t="s">
        <v>9</v>
      </c>
      <c r="E200" s="3" t="s">
        <v>9</v>
      </c>
      <c r="F200" s="3" t="s">
        <v>9</v>
      </c>
      <c r="G200" s="3" t="s">
        <v>9</v>
      </c>
      <c r="H200" s="3" t="s">
        <v>9</v>
      </c>
      <c r="I200" s="3">
        <v>120</v>
      </c>
      <c r="J200" s="5" t="s">
        <v>1516</v>
      </c>
      <c r="K200" s="3">
        <v>0.28000000000000003</v>
      </c>
      <c r="L200" s="3">
        <v>7.0000000000000007E-2</v>
      </c>
      <c r="M200" s="3">
        <v>0.25</v>
      </c>
      <c r="N200" s="3">
        <v>0.28000000000000003</v>
      </c>
      <c r="O200" s="3">
        <v>26</v>
      </c>
      <c r="P200" s="3">
        <v>199</v>
      </c>
      <c r="Q200" s="10">
        <f t="shared" ca="1" si="9"/>
        <v>42487</v>
      </c>
      <c r="R200" s="10">
        <f t="shared" ca="1" si="10"/>
        <v>42538</v>
      </c>
      <c r="S200" s="11">
        <f t="shared" ca="1" si="11"/>
        <v>0.15079365079365079</v>
      </c>
      <c r="T200" s="10"/>
    </row>
    <row r="201" spans="2:20" x14ac:dyDescent="0.2">
      <c r="B201" s="5" t="s">
        <v>1517</v>
      </c>
      <c r="C201" s="3">
        <v>19.04</v>
      </c>
      <c r="D201" s="3">
        <v>0</v>
      </c>
      <c r="E201" s="3">
        <v>22.2</v>
      </c>
      <c r="F201" s="3">
        <v>24.15</v>
      </c>
      <c r="G201" s="3">
        <v>2</v>
      </c>
      <c r="H201" s="3">
        <v>20</v>
      </c>
      <c r="I201" s="3">
        <v>125</v>
      </c>
      <c r="J201" s="5" t="s">
        <v>1518</v>
      </c>
      <c r="K201" s="3">
        <v>0.45</v>
      </c>
      <c r="L201" s="3">
        <v>0.1</v>
      </c>
      <c r="M201" s="3">
        <v>0.41</v>
      </c>
      <c r="N201" s="3">
        <v>0.45</v>
      </c>
      <c r="O201" s="3">
        <v>15</v>
      </c>
      <c r="P201" s="3">
        <v>185</v>
      </c>
      <c r="Q201" s="10">
        <f t="shared" ca="1" si="9"/>
        <v>42487</v>
      </c>
      <c r="R201" s="10">
        <f t="shared" ca="1" si="10"/>
        <v>42538</v>
      </c>
      <c r="S201" s="11">
        <f t="shared" ca="1" si="11"/>
        <v>0.15079365079365079</v>
      </c>
      <c r="T201" s="10"/>
    </row>
    <row r="202" spans="2:20" x14ac:dyDescent="0.2">
      <c r="B202" s="5" t="s">
        <v>1519</v>
      </c>
      <c r="C202" s="3">
        <v>18.649999999999999</v>
      </c>
      <c r="D202" s="3">
        <v>0</v>
      </c>
      <c r="E202" s="3">
        <v>14.2</v>
      </c>
      <c r="F202" s="3">
        <v>16.649999999999999</v>
      </c>
      <c r="G202" s="3">
        <v>1</v>
      </c>
      <c r="H202" s="3">
        <v>17</v>
      </c>
      <c r="I202" s="3">
        <v>130</v>
      </c>
      <c r="J202" s="5" t="s">
        <v>1520</v>
      </c>
      <c r="K202" s="3">
        <v>0.6</v>
      </c>
      <c r="L202" s="3">
        <v>0</v>
      </c>
      <c r="M202" s="3">
        <v>0.7</v>
      </c>
      <c r="N202" s="3">
        <v>0.75</v>
      </c>
      <c r="O202" s="3">
        <v>22</v>
      </c>
      <c r="P202" s="3">
        <v>444</v>
      </c>
      <c r="Q202" s="10">
        <f t="shared" ca="1" si="9"/>
        <v>42487</v>
      </c>
      <c r="R202" s="10">
        <f t="shared" ca="1" si="10"/>
        <v>42538</v>
      </c>
      <c r="S202" s="11">
        <f t="shared" ca="1" si="11"/>
        <v>0.15079365079365079</v>
      </c>
      <c r="T202" s="10"/>
    </row>
    <row r="203" spans="2:20" x14ac:dyDescent="0.2">
      <c r="B203" s="5" t="s">
        <v>1521</v>
      </c>
      <c r="C203" s="3">
        <v>13.25</v>
      </c>
      <c r="D203" s="3">
        <v>1.85</v>
      </c>
      <c r="E203" s="3">
        <v>12.7</v>
      </c>
      <c r="F203" s="3">
        <v>14.15</v>
      </c>
      <c r="G203" s="3">
        <v>10</v>
      </c>
      <c r="H203" s="3">
        <v>44</v>
      </c>
      <c r="I203" s="3">
        <v>135</v>
      </c>
      <c r="J203" s="5" t="s">
        <v>1522</v>
      </c>
      <c r="K203" s="3">
        <v>1.3</v>
      </c>
      <c r="L203" s="3">
        <v>0.37</v>
      </c>
      <c r="M203" s="3">
        <v>1.25</v>
      </c>
      <c r="N203" s="3">
        <v>1.32</v>
      </c>
      <c r="O203" s="3">
        <v>137</v>
      </c>
      <c r="P203" s="3">
        <v>938</v>
      </c>
      <c r="Q203" s="10">
        <f t="shared" ca="1" si="9"/>
        <v>42487</v>
      </c>
      <c r="R203" s="10">
        <f t="shared" ca="1" si="10"/>
        <v>42538</v>
      </c>
      <c r="S203" s="11">
        <f t="shared" ca="1" si="11"/>
        <v>0.15079365079365079</v>
      </c>
      <c r="T203" s="10"/>
    </row>
    <row r="204" spans="2:20" x14ac:dyDescent="0.2">
      <c r="B204" s="5" t="s">
        <v>1523</v>
      </c>
      <c r="C204" s="3">
        <v>6.89</v>
      </c>
      <c r="D204" s="3">
        <v>-1.05</v>
      </c>
      <c r="E204" s="3">
        <v>6.9</v>
      </c>
      <c r="F204" s="3">
        <v>7.45</v>
      </c>
      <c r="G204" s="3">
        <v>8</v>
      </c>
      <c r="H204" s="3">
        <v>205</v>
      </c>
      <c r="I204" s="3">
        <v>140</v>
      </c>
      <c r="J204" s="5" t="s">
        <v>1524</v>
      </c>
      <c r="K204" s="3">
        <v>2.36</v>
      </c>
      <c r="L204" s="3">
        <v>0.41</v>
      </c>
      <c r="M204" s="3">
        <v>2.29</v>
      </c>
      <c r="N204" s="3">
        <v>2.39</v>
      </c>
      <c r="O204" s="3">
        <v>249</v>
      </c>
      <c r="P204" s="3">
        <v>1196</v>
      </c>
      <c r="Q204" s="10">
        <f t="shared" ca="1" si="9"/>
        <v>42487</v>
      </c>
      <c r="R204" s="10">
        <f t="shared" ca="1" si="10"/>
        <v>42538</v>
      </c>
      <c r="S204" s="11">
        <f t="shared" ca="1" si="11"/>
        <v>0.15079365079365079</v>
      </c>
      <c r="T204" s="10"/>
    </row>
    <row r="205" spans="2:20" x14ac:dyDescent="0.2">
      <c r="B205" s="5" t="s">
        <v>1525</v>
      </c>
      <c r="C205" s="3">
        <v>3.9</v>
      </c>
      <c r="D205" s="3">
        <v>-0.65</v>
      </c>
      <c r="E205" s="3">
        <v>3.9</v>
      </c>
      <c r="F205" s="3">
        <v>4</v>
      </c>
      <c r="G205" s="3">
        <v>216</v>
      </c>
      <c r="H205" s="3">
        <v>798</v>
      </c>
      <c r="I205" s="3">
        <v>145</v>
      </c>
      <c r="J205" s="5" t="s">
        <v>1526</v>
      </c>
      <c r="K205" s="3">
        <v>4.2</v>
      </c>
      <c r="L205" s="3">
        <v>0.5</v>
      </c>
      <c r="M205" s="3">
        <v>4.1500000000000004</v>
      </c>
      <c r="N205" s="3">
        <v>4.25</v>
      </c>
      <c r="O205" s="3">
        <v>175</v>
      </c>
      <c r="P205" s="3">
        <v>2411</v>
      </c>
      <c r="Q205" s="10">
        <f t="shared" ca="1" si="9"/>
        <v>42487</v>
      </c>
      <c r="R205" s="10">
        <f t="shared" ca="1" si="10"/>
        <v>42538</v>
      </c>
      <c r="S205" s="11">
        <f t="shared" ca="1" si="11"/>
        <v>0.15079365079365079</v>
      </c>
      <c r="T205" s="10"/>
    </row>
    <row r="206" spans="2:20" x14ac:dyDescent="0.2">
      <c r="B206" s="5" t="s">
        <v>1527</v>
      </c>
      <c r="C206" s="3">
        <v>1.83</v>
      </c>
      <c r="D206" s="3">
        <v>-0.26</v>
      </c>
      <c r="E206" s="3">
        <v>1.79</v>
      </c>
      <c r="F206" s="3">
        <v>1.88</v>
      </c>
      <c r="G206" s="3">
        <v>504</v>
      </c>
      <c r="H206" s="3">
        <v>2241</v>
      </c>
      <c r="I206" s="3">
        <v>150</v>
      </c>
      <c r="J206" s="5" t="s">
        <v>1528</v>
      </c>
      <c r="K206" s="3">
        <v>7.27</v>
      </c>
      <c r="L206" s="3">
        <v>1.02</v>
      </c>
      <c r="M206" s="3">
        <v>7</v>
      </c>
      <c r="N206" s="3">
        <v>7.25</v>
      </c>
      <c r="O206" s="3">
        <v>118</v>
      </c>
      <c r="P206" s="3">
        <v>1486</v>
      </c>
      <c r="Q206" s="10">
        <f t="shared" ca="1" si="9"/>
        <v>42487</v>
      </c>
      <c r="R206" s="10">
        <f t="shared" ca="1" si="10"/>
        <v>42538</v>
      </c>
      <c r="S206" s="11">
        <f t="shared" ca="1" si="11"/>
        <v>0.15079365079365079</v>
      </c>
      <c r="T206" s="10"/>
    </row>
    <row r="207" spans="2:20" x14ac:dyDescent="0.2">
      <c r="B207" s="5" t="s">
        <v>1529</v>
      </c>
      <c r="C207" s="3">
        <v>0.72</v>
      </c>
      <c r="D207" s="3">
        <v>-7.0000000000000007E-2</v>
      </c>
      <c r="E207" s="3">
        <v>0.65</v>
      </c>
      <c r="F207" s="3">
        <v>0.76</v>
      </c>
      <c r="G207" s="3">
        <v>53</v>
      </c>
      <c r="H207" s="3">
        <v>2950</v>
      </c>
      <c r="I207" s="3">
        <v>155</v>
      </c>
      <c r="J207" s="5" t="s">
        <v>1530</v>
      </c>
      <c r="K207" s="3">
        <v>10.3</v>
      </c>
      <c r="L207" s="3">
        <v>0</v>
      </c>
      <c r="M207" s="3">
        <v>10.45</v>
      </c>
      <c r="N207" s="3">
        <v>11.25</v>
      </c>
      <c r="O207" s="3">
        <v>12</v>
      </c>
      <c r="P207" s="3">
        <v>258</v>
      </c>
      <c r="Q207" s="10">
        <f t="shared" ca="1" si="9"/>
        <v>42487</v>
      </c>
      <c r="R207" s="10">
        <f t="shared" ca="1" si="10"/>
        <v>42538</v>
      </c>
      <c r="S207" s="11">
        <f t="shared" ca="1" si="11"/>
        <v>0.15079365079365079</v>
      </c>
      <c r="T207" s="10"/>
    </row>
    <row r="208" spans="2:20" x14ac:dyDescent="0.2">
      <c r="B208" s="5" t="s">
        <v>1531</v>
      </c>
      <c r="C208" s="3">
        <v>0.25</v>
      </c>
      <c r="D208" s="3">
        <v>-0.11</v>
      </c>
      <c r="E208" s="3">
        <v>0.23</v>
      </c>
      <c r="F208" s="3">
        <v>0.27</v>
      </c>
      <c r="G208" s="3">
        <v>241</v>
      </c>
      <c r="H208" s="3">
        <v>1301</v>
      </c>
      <c r="I208" s="3">
        <v>160</v>
      </c>
      <c r="J208" s="5" t="s">
        <v>1532</v>
      </c>
      <c r="K208" s="3">
        <v>14.5</v>
      </c>
      <c r="L208" s="3">
        <v>0</v>
      </c>
      <c r="M208" s="3">
        <v>15.1</v>
      </c>
      <c r="N208" s="3">
        <v>16.850000000000001</v>
      </c>
      <c r="O208" s="3">
        <v>5</v>
      </c>
      <c r="P208" s="3">
        <v>225</v>
      </c>
      <c r="Q208" s="10">
        <f t="shared" ca="1" si="9"/>
        <v>42487</v>
      </c>
      <c r="R208" s="10">
        <f t="shared" ca="1" si="10"/>
        <v>42538</v>
      </c>
      <c r="S208" s="11">
        <f t="shared" ca="1" si="11"/>
        <v>0.15079365079365079</v>
      </c>
      <c r="T208" s="10"/>
    </row>
    <row r="209" spans="2:20" x14ac:dyDescent="0.2">
      <c r="B209" s="5" t="s">
        <v>1533</v>
      </c>
      <c r="C209" s="3">
        <v>7.0000000000000007E-2</v>
      </c>
      <c r="D209" s="3">
        <v>-0.03</v>
      </c>
      <c r="E209" s="3">
        <v>0.08</v>
      </c>
      <c r="F209" s="3">
        <v>0.1</v>
      </c>
      <c r="G209" s="3">
        <v>2</v>
      </c>
      <c r="H209" s="3">
        <v>1999</v>
      </c>
      <c r="I209" s="3">
        <v>165</v>
      </c>
      <c r="J209" s="5" t="s">
        <v>1534</v>
      </c>
      <c r="K209" s="3">
        <v>17.39</v>
      </c>
      <c r="L209" s="3">
        <v>0</v>
      </c>
      <c r="M209" s="3">
        <v>17</v>
      </c>
      <c r="N209" s="3">
        <v>19.2</v>
      </c>
      <c r="O209" s="3">
        <v>0</v>
      </c>
      <c r="P209" s="3">
        <v>2</v>
      </c>
      <c r="Q209" s="10">
        <f t="shared" ca="1" si="9"/>
        <v>42487</v>
      </c>
      <c r="R209" s="10">
        <f t="shared" ca="1" si="10"/>
        <v>42538</v>
      </c>
      <c r="S209" s="11">
        <f t="shared" ca="1" si="11"/>
        <v>0.15079365079365079</v>
      </c>
      <c r="T209" s="10"/>
    </row>
    <row r="210" spans="2:20" x14ac:dyDescent="0.2">
      <c r="B210" s="5" t="s">
        <v>1535</v>
      </c>
      <c r="C210" s="3">
        <v>0.08</v>
      </c>
      <c r="D210" s="3">
        <v>0</v>
      </c>
      <c r="E210" s="3">
        <v>0.01</v>
      </c>
      <c r="F210" s="3">
        <v>0.09</v>
      </c>
      <c r="G210" s="3">
        <v>1</v>
      </c>
      <c r="H210" s="3">
        <v>674</v>
      </c>
      <c r="I210" s="3">
        <v>170</v>
      </c>
      <c r="J210" s="5" t="s">
        <v>1536</v>
      </c>
      <c r="K210" s="3">
        <v>20.6</v>
      </c>
      <c r="L210" s="3">
        <v>0</v>
      </c>
      <c r="M210" s="3">
        <v>21.5</v>
      </c>
      <c r="N210" s="3">
        <v>24.65</v>
      </c>
      <c r="O210" s="3">
        <v>0</v>
      </c>
      <c r="P210" s="3">
        <v>1</v>
      </c>
      <c r="Q210" s="10">
        <f t="shared" ca="1" si="9"/>
        <v>42487</v>
      </c>
      <c r="R210" s="10">
        <f t="shared" ca="1" si="10"/>
        <v>42538</v>
      </c>
      <c r="S210" s="11">
        <f t="shared" ca="1" si="11"/>
        <v>0.15079365079365079</v>
      </c>
      <c r="T210" s="10"/>
    </row>
    <row r="211" spans="2:20" x14ac:dyDescent="0.2">
      <c r="B211" s="5" t="s">
        <v>1537</v>
      </c>
      <c r="C211" s="3">
        <v>0.04</v>
      </c>
      <c r="D211" s="3">
        <v>0</v>
      </c>
      <c r="E211" s="3">
        <v>0</v>
      </c>
      <c r="F211" s="3">
        <v>0.08</v>
      </c>
      <c r="G211" s="3">
        <v>6</v>
      </c>
      <c r="H211" s="3">
        <v>683</v>
      </c>
      <c r="I211" s="3">
        <v>175</v>
      </c>
      <c r="J211" s="5" t="s">
        <v>1538</v>
      </c>
      <c r="K211" s="3" t="s">
        <v>9</v>
      </c>
      <c r="L211" s="3" t="s">
        <v>9</v>
      </c>
      <c r="M211" s="3" t="s">
        <v>9</v>
      </c>
      <c r="N211" s="3" t="s">
        <v>9</v>
      </c>
      <c r="O211" s="3" t="s">
        <v>9</v>
      </c>
      <c r="P211" s="3" t="s">
        <v>9</v>
      </c>
      <c r="Q211" s="10">
        <f t="shared" ca="1" si="9"/>
        <v>42487</v>
      </c>
      <c r="R211" s="10">
        <f t="shared" ca="1" si="10"/>
        <v>42538</v>
      </c>
      <c r="S211" s="11">
        <f t="shared" ca="1" si="11"/>
        <v>0.15079365079365079</v>
      </c>
      <c r="T211" s="10"/>
    </row>
    <row r="212" spans="2:20" x14ac:dyDescent="0.2">
      <c r="B212" s="5" t="s">
        <v>1539</v>
      </c>
      <c r="C212" s="3">
        <v>0.17</v>
      </c>
      <c r="D212" s="3">
        <v>0.09</v>
      </c>
      <c r="E212" s="3">
        <v>0</v>
      </c>
      <c r="F212" s="3">
        <v>7.0000000000000007E-2</v>
      </c>
      <c r="G212" s="3">
        <v>1</v>
      </c>
      <c r="H212" s="3">
        <v>27</v>
      </c>
      <c r="I212" s="3">
        <v>180</v>
      </c>
      <c r="J212" s="5" t="s">
        <v>1540</v>
      </c>
      <c r="K212" s="3" t="s">
        <v>9</v>
      </c>
      <c r="L212" s="3" t="s">
        <v>9</v>
      </c>
      <c r="M212" s="3" t="s">
        <v>9</v>
      </c>
      <c r="N212" s="3" t="s">
        <v>9</v>
      </c>
      <c r="O212" s="3" t="s">
        <v>9</v>
      </c>
      <c r="P212" s="3" t="s">
        <v>9</v>
      </c>
      <c r="Q212" s="10">
        <f t="shared" ca="1" si="9"/>
        <v>42487</v>
      </c>
      <c r="R212" s="10">
        <f t="shared" ca="1" si="10"/>
        <v>42538</v>
      </c>
      <c r="S212" s="11">
        <f t="shared" ca="1" si="11"/>
        <v>0.15079365079365079</v>
      </c>
      <c r="T212" s="10"/>
    </row>
    <row r="213" spans="2:20" x14ac:dyDescent="0.2">
      <c r="B213" s="5" t="s">
        <v>1541</v>
      </c>
      <c r="C213" s="3">
        <v>0.06</v>
      </c>
      <c r="D213" s="3">
        <v>0</v>
      </c>
      <c r="E213" s="3">
        <v>0</v>
      </c>
      <c r="F213" s="3">
        <v>7.0000000000000007E-2</v>
      </c>
      <c r="G213" s="3">
        <v>0</v>
      </c>
      <c r="H213" s="3">
        <v>15</v>
      </c>
      <c r="I213" s="3">
        <v>190</v>
      </c>
      <c r="J213" s="5" t="s">
        <v>1542</v>
      </c>
      <c r="K213" s="3" t="s">
        <v>9</v>
      </c>
      <c r="L213" s="3" t="s">
        <v>9</v>
      </c>
      <c r="M213" s="3" t="s">
        <v>9</v>
      </c>
      <c r="N213" s="3" t="s">
        <v>9</v>
      </c>
      <c r="O213" s="3" t="s">
        <v>9</v>
      </c>
      <c r="P213" s="3" t="s">
        <v>9</v>
      </c>
      <c r="Q213" s="10">
        <f t="shared" ca="1" si="9"/>
        <v>42487</v>
      </c>
      <c r="R213" s="10">
        <f t="shared" ca="1" si="10"/>
        <v>42538</v>
      </c>
      <c r="S213" s="11">
        <f t="shared" ca="1" si="11"/>
        <v>0.15079365079365079</v>
      </c>
      <c r="T213" s="10"/>
    </row>
    <row r="214" spans="2:20" x14ac:dyDescent="0.2">
      <c r="B214" s="5" t="s">
        <v>1543</v>
      </c>
      <c r="C214" s="3">
        <v>0</v>
      </c>
      <c r="D214" s="3">
        <v>0</v>
      </c>
      <c r="E214" s="3">
        <v>77.7</v>
      </c>
      <c r="F214" s="3">
        <v>82.05</v>
      </c>
      <c r="G214" s="3">
        <v>0</v>
      </c>
      <c r="H214" s="3">
        <v>0</v>
      </c>
      <c r="I214" s="3">
        <v>60</v>
      </c>
      <c r="J214" s="5" t="s">
        <v>1544</v>
      </c>
      <c r="K214" s="3">
        <v>0.12</v>
      </c>
      <c r="L214" s="3">
        <v>0</v>
      </c>
      <c r="M214" s="3">
        <v>0</v>
      </c>
      <c r="N214" s="3">
        <v>7.0000000000000007E-2</v>
      </c>
      <c r="O214" s="3">
        <v>0</v>
      </c>
      <c r="P214" s="3">
        <v>36</v>
      </c>
      <c r="Q214" s="10">
        <f t="shared" ca="1" si="9"/>
        <v>42487</v>
      </c>
      <c r="R214" s="10">
        <f t="shared" ca="1" si="10"/>
        <v>42566</v>
      </c>
      <c r="S214" s="11">
        <f t="shared" ca="1" si="11"/>
        <v>0.23015873015873015</v>
      </c>
      <c r="T214" s="10"/>
    </row>
    <row r="215" spans="2:20" x14ac:dyDescent="0.2">
      <c r="B215" s="5" t="s">
        <v>1545</v>
      </c>
      <c r="C215" s="3">
        <v>0</v>
      </c>
      <c r="D215" s="3">
        <v>0</v>
      </c>
      <c r="E215" s="3">
        <v>72.8</v>
      </c>
      <c r="F215" s="3">
        <v>77.349999999999994</v>
      </c>
      <c r="G215" s="3">
        <v>0</v>
      </c>
      <c r="H215" s="3">
        <v>0</v>
      </c>
      <c r="I215" s="3">
        <v>65</v>
      </c>
      <c r="J215" s="5" t="s">
        <v>1546</v>
      </c>
      <c r="K215" s="3">
        <v>0.11</v>
      </c>
      <c r="L215" s="3">
        <v>0</v>
      </c>
      <c r="M215" s="3">
        <v>0</v>
      </c>
      <c r="N215" s="3">
        <v>7.0000000000000007E-2</v>
      </c>
      <c r="O215" s="3">
        <v>0</v>
      </c>
      <c r="P215" s="3">
        <v>4</v>
      </c>
      <c r="Q215" s="10">
        <f t="shared" ca="1" si="9"/>
        <v>42487</v>
      </c>
      <c r="R215" s="10">
        <f t="shared" ca="1" si="10"/>
        <v>42566</v>
      </c>
      <c r="S215" s="11">
        <f t="shared" ca="1" si="11"/>
        <v>0.23015873015873015</v>
      </c>
      <c r="T215" s="10"/>
    </row>
    <row r="216" spans="2:20" x14ac:dyDescent="0.2">
      <c r="B216" s="5" t="s">
        <v>1547</v>
      </c>
      <c r="C216" s="3">
        <v>0</v>
      </c>
      <c r="D216" s="3">
        <v>0</v>
      </c>
      <c r="E216" s="3">
        <v>67.8</v>
      </c>
      <c r="F216" s="3">
        <v>72.3</v>
      </c>
      <c r="G216" s="3">
        <v>0</v>
      </c>
      <c r="H216" s="3">
        <v>0</v>
      </c>
      <c r="I216" s="3">
        <v>70</v>
      </c>
      <c r="J216" s="5" t="s">
        <v>1548</v>
      </c>
      <c r="K216" s="3">
        <v>0.05</v>
      </c>
      <c r="L216" s="3">
        <v>0</v>
      </c>
      <c r="M216" s="3">
        <v>0</v>
      </c>
      <c r="N216" s="3">
        <v>7.0000000000000007E-2</v>
      </c>
      <c r="O216" s="3">
        <v>10</v>
      </c>
      <c r="P216" s="3">
        <v>126</v>
      </c>
      <c r="Q216" s="10">
        <f t="shared" ca="1" si="9"/>
        <v>42487</v>
      </c>
      <c r="R216" s="10">
        <f t="shared" ca="1" si="10"/>
        <v>42566</v>
      </c>
      <c r="S216" s="11">
        <f t="shared" ca="1" si="11"/>
        <v>0.23015873015873015</v>
      </c>
      <c r="T216" s="10"/>
    </row>
    <row r="217" spans="2:20" x14ac:dyDescent="0.2">
      <c r="B217" s="5" t="s">
        <v>1549</v>
      </c>
      <c r="C217" s="3">
        <v>0</v>
      </c>
      <c r="D217" s="3">
        <v>0</v>
      </c>
      <c r="E217" s="3">
        <v>63.1</v>
      </c>
      <c r="F217" s="3">
        <v>67.2</v>
      </c>
      <c r="G217" s="3">
        <v>0</v>
      </c>
      <c r="H217" s="3">
        <v>0</v>
      </c>
      <c r="I217" s="3">
        <v>75</v>
      </c>
      <c r="J217" s="5" t="s">
        <v>1550</v>
      </c>
      <c r="K217" s="3">
        <v>0.02</v>
      </c>
      <c r="L217" s="3">
        <v>0</v>
      </c>
      <c r="M217" s="3">
        <v>0</v>
      </c>
      <c r="N217" s="3">
        <v>0.03</v>
      </c>
      <c r="O217" s="3">
        <v>5</v>
      </c>
      <c r="P217" s="3">
        <v>355</v>
      </c>
      <c r="Q217" s="10">
        <f t="shared" ca="1" si="9"/>
        <v>42487</v>
      </c>
      <c r="R217" s="10">
        <f t="shared" ca="1" si="10"/>
        <v>42566</v>
      </c>
      <c r="S217" s="11">
        <f t="shared" ca="1" si="11"/>
        <v>0.23015873015873015</v>
      </c>
      <c r="T217" s="10"/>
    </row>
    <row r="218" spans="2:20" x14ac:dyDescent="0.2">
      <c r="B218" s="5" t="s">
        <v>1551</v>
      </c>
      <c r="C218" s="3">
        <v>0</v>
      </c>
      <c r="D218" s="3">
        <v>0</v>
      </c>
      <c r="E218" s="3">
        <v>58.05</v>
      </c>
      <c r="F218" s="3">
        <v>62.3</v>
      </c>
      <c r="G218" s="3">
        <v>0</v>
      </c>
      <c r="H218" s="3">
        <v>0</v>
      </c>
      <c r="I218" s="3">
        <v>80</v>
      </c>
      <c r="J218" s="5" t="s">
        <v>1552</v>
      </c>
      <c r="K218" s="3">
        <v>7.0000000000000007E-2</v>
      </c>
      <c r="L218" s="3">
        <v>0</v>
      </c>
      <c r="M218" s="3">
        <v>0</v>
      </c>
      <c r="N218" s="3">
        <v>0.1</v>
      </c>
      <c r="O218" s="3">
        <v>5</v>
      </c>
      <c r="P218" s="3">
        <v>63</v>
      </c>
      <c r="Q218" s="10">
        <f t="shared" ca="1" si="9"/>
        <v>42487</v>
      </c>
      <c r="R218" s="10">
        <f t="shared" ca="1" si="10"/>
        <v>42566</v>
      </c>
      <c r="S218" s="11">
        <f t="shared" ca="1" si="11"/>
        <v>0.23015873015873015</v>
      </c>
      <c r="T218" s="10"/>
    </row>
    <row r="219" spans="2:20" x14ac:dyDescent="0.2">
      <c r="B219" s="5" t="s">
        <v>1553</v>
      </c>
      <c r="C219" s="3">
        <v>0</v>
      </c>
      <c r="D219" s="3">
        <v>0</v>
      </c>
      <c r="E219" s="3">
        <v>53.15</v>
      </c>
      <c r="F219" s="3">
        <v>57.2</v>
      </c>
      <c r="G219" s="3">
        <v>0</v>
      </c>
      <c r="H219" s="3">
        <v>0</v>
      </c>
      <c r="I219" s="3">
        <v>85</v>
      </c>
      <c r="J219" s="5" t="s">
        <v>1554</v>
      </c>
      <c r="K219" s="3">
        <v>0.16</v>
      </c>
      <c r="L219" s="3">
        <v>0</v>
      </c>
      <c r="M219" s="3">
        <v>0.04</v>
      </c>
      <c r="N219" s="3">
        <v>0.18</v>
      </c>
      <c r="O219" s="3">
        <v>1</v>
      </c>
      <c r="P219" s="3">
        <v>72</v>
      </c>
      <c r="Q219" s="10">
        <f t="shared" ca="1" si="9"/>
        <v>42487</v>
      </c>
      <c r="R219" s="10">
        <f t="shared" ca="1" si="10"/>
        <v>42566</v>
      </c>
      <c r="S219" s="11">
        <f t="shared" ca="1" si="11"/>
        <v>0.23015873015873015</v>
      </c>
      <c r="T219" s="10"/>
    </row>
    <row r="220" spans="2:20" x14ac:dyDescent="0.2">
      <c r="B220" s="5" t="s">
        <v>1555</v>
      </c>
      <c r="C220" s="3">
        <v>0</v>
      </c>
      <c r="D220" s="3">
        <v>0</v>
      </c>
      <c r="E220" s="3">
        <v>48.2</v>
      </c>
      <c r="F220" s="3">
        <v>52.3</v>
      </c>
      <c r="G220" s="3">
        <v>0</v>
      </c>
      <c r="H220" s="3">
        <v>0</v>
      </c>
      <c r="I220" s="3">
        <v>90</v>
      </c>
      <c r="J220" s="5" t="s">
        <v>1556</v>
      </c>
      <c r="K220" s="3">
        <v>0.3</v>
      </c>
      <c r="L220" s="3">
        <v>0</v>
      </c>
      <c r="M220" s="3">
        <v>7.0000000000000007E-2</v>
      </c>
      <c r="N220" s="3">
        <v>0.23</v>
      </c>
      <c r="O220" s="3">
        <v>0</v>
      </c>
      <c r="P220" s="3">
        <v>104</v>
      </c>
      <c r="Q220" s="10">
        <f t="shared" ca="1" si="9"/>
        <v>42487</v>
      </c>
      <c r="R220" s="10">
        <f t="shared" ca="1" si="10"/>
        <v>42566</v>
      </c>
      <c r="S220" s="11">
        <f t="shared" ca="1" si="11"/>
        <v>0.23015873015873015</v>
      </c>
      <c r="T220" s="10"/>
    </row>
    <row r="221" spans="2:20" x14ac:dyDescent="0.2">
      <c r="B221" s="5" t="s">
        <v>1557</v>
      </c>
      <c r="C221" s="3">
        <v>0</v>
      </c>
      <c r="D221" s="3">
        <v>0</v>
      </c>
      <c r="E221" s="3">
        <v>43.2</v>
      </c>
      <c r="F221" s="3">
        <v>47.15</v>
      </c>
      <c r="G221" s="3">
        <v>0</v>
      </c>
      <c r="H221" s="3">
        <v>0</v>
      </c>
      <c r="I221" s="3">
        <v>95</v>
      </c>
      <c r="J221" s="5" t="s">
        <v>1558</v>
      </c>
      <c r="K221" s="3">
        <v>0.04</v>
      </c>
      <c r="L221" s="3">
        <v>-0.01</v>
      </c>
      <c r="M221" s="3">
        <v>0.04</v>
      </c>
      <c r="N221" s="3">
        <v>0.05</v>
      </c>
      <c r="O221" s="3">
        <v>15</v>
      </c>
      <c r="P221" s="3">
        <v>213</v>
      </c>
      <c r="Q221" s="10">
        <f t="shared" ca="1" si="9"/>
        <v>42487</v>
      </c>
      <c r="R221" s="10">
        <f t="shared" ca="1" si="10"/>
        <v>42566</v>
      </c>
      <c r="S221" s="11">
        <f t="shared" ca="1" si="11"/>
        <v>0.23015873015873015</v>
      </c>
      <c r="T221" s="10"/>
    </row>
    <row r="222" spans="2:20" x14ac:dyDescent="0.2">
      <c r="B222" s="5" t="s">
        <v>1559</v>
      </c>
      <c r="C222" s="3">
        <v>51.63</v>
      </c>
      <c r="D222" s="3">
        <v>3.57</v>
      </c>
      <c r="E222" s="3">
        <v>49.9</v>
      </c>
      <c r="F222" s="3">
        <v>53.8</v>
      </c>
      <c r="G222" s="3">
        <v>2</v>
      </c>
      <c r="H222" s="3">
        <v>5</v>
      </c>
      <c r="I222" s="3">
        <v>100</v>
      </c>
      <c r="J222" s="5" t="s">
        <v>1560</v>
      </c>
      <c r="K222" s="3">
        <v>0.08</v>
      </c>
      <c r="L222" s="3">
        <v>0</v>
      </c>
      <c r="M222" s="3">
        <v>0.1</v>
      </c>
      <c r="N222" s="3">
        <v>0.13</v>
      </c>
      <c r="O222" s="3">
        <v>1</v>
      </c>
      <c r="P222" s="3">
        <v>478</v>
      </c>
      <c r="Q222" s="10">
        <f t="shared" ca="1" si="9"/>
        <v>42487</v>
      </c>
      <c r="R222" s="10">
        <f t="shared" ca="1" si="10"/>
        <v>42566</v>
      </c>
      <c r="S222" s="11">
        <f t="shared" ca="1" si="11"/>
        <v>0.23015873015873015</v>
      </c>
      <c r="T222" s="10"/>
    </row>
    <row r="223" spans="2:20" x14ac:dyDescent="0.2">
      <c r="B223" s="5" t="s">
        <v>1561</v>
      </c>
      <c r="C223" s="3">
        <v>22.8</v>
      </c>
      <c r="D223" s="3">
        <v>0</v>
      </c>
      <c r="E223" s="3">
        <v>41.4</v>
      </c>
      <c r="F223" s="3">
        <v>45.65</v>
      </c>
      <c r="G223" s="3">
        <v>0</v>
      </c>
      <c r="H223" s="3">
        <v>3</v>
      </c>
      <c r="I223" s="3">
        <v>105</v>
      </c>
      <c r="J223" s="5" t="s">
        <v>1562</v>
      </c>
      <c r="K223" s="3">
        <v>0.11</v>
      </c>
      <c r="L223" s="3">
        <v>0</v>
      </c>
      <c r="M223" s="3">
        <v>0.15</v>
      </c>
      <c r="N223" s="3">
        <v>0.18</v>
      </c>
      <c r="O223" s="3">
        <v>8</v>
      </c>
      <c r="P223" s="3">
        <v>817</v>
      </c>
      <c r="Q223" s="10">
        <f t="shared" ca="1" si="9"/>
        <v>42487</v>
      </c>
      <c r="R223" s="10">
        <f t="shared" ca="1" si="10"/>
        <v>42566</v>
      </c>
      <c r="S223" s="11">
        <f t="shared" ca="1" si="11"/>
        <v>0.23015873015873015</v>
      </c>
      <c r="T223" s="10"/>
    </row>
    <row r="224" spans="2:20" x14ac:dyDescent="0.2">
      <c r="B224" s="5" t="s">
        <v>1563</v>
      </c>
      <c r="C224" s="3">
        <v>39.61</v>
      </c>
      <c r="D224" s="3">
        <v>0</v>
      </c>
      <c r="E224" s="3">
        <v>39.9</v>
      </c>
      <c r="F224" s="3">
        <v>43.85</v>
      </c>
      <c r="G224" s="3">
        <v>5</v>
      </c>
      <c r="H224" s="3">
        <v>44</v>
      </c>
      <c r="I224" s="3">
        <v>110</v>
      </c>
      <c r="J224" s="5" t="s">
        <v>1564</v>
      </c>
      <c r="K224" s="3">
        <v>0.16</v>
      </c>
      <c r="L224" s="3">
        <v>-7.0000000000000007E-2</v>
      </c>
      <c r="M224" s="3">
        <v>0.14000000000000001</v>
      </c>
      <c r="N224" s="3">
        <v>0.17</v>
      </c>
      <c r="O224" s="3">
        <v>70</v>
      </c>
      <c r="P224" s="3">
        <v>6757</v>
      </c>
      <c r="Q224" s="10">
        <f t="shared" ca="1" si="9"/>
        <v>42487</v>
      </c>
      <c r="R224" s="10">
        <f t="shared" ca="1" si="10"/>
        <v>42566</v>
      </c>
      <c r="S224" s="11">
        <f t="shared" ca="1" si="11"/>
        <v>0.23015873015873015</v>
      </c>
      <c r="T224" s="10"/>
    </row>
    <row r="225" spans="2:20" x14ac:dyDescent="0.2">
      <c r="B225" s="5" t="s">
        <v>1565</v>
      </c>
      <c r="C225" s="3">
        <v>33.200000000000003</v>
      </c>
      <c r="D225" s="3">
        <v>0</v>
      </c>
      <c r="E225" s="3">
        <v>35.6</v>
      </c>
      <c r="F225" s="3">
        <v>39.4</v>
      </c>
      <c r="G225" s="3">
        <v>2</v>
      </c>
      <c r="H225" s="3">
        <v>32</v>
      </c>
      <c r="I225" s="3">
        <v>115</v>
      </c>
      <c r="J225" s="5" t="s">
        <v>1566</v>
      </c>
      <c r="K225" s="3">
        <v>0.36</v>
      </c>
      <c r="L225" s="3">
        <v>0.18</v>
      </c>
      <c r="M225" s="3">
        <v>0.33</v>
      </c>
      <c r="N225" s="3">
        <v>0.37</v>
      </c>
      <c r="O225" s="3">
        <v>14</v>
      </c>
      <c r="P225" s="3">
        <v>997</v>
      </c>
      <c r="Q225" s="10">
        <f t="shared" ca="1" si="9"/>
        <v>42487</v>
      </c>
      <c r="R225" s="10">
        <f t="shared" ca="1" si="10"/>
        <v>42566</v>
      </c>
      <c r="S225" s="11">
        <f t="shared" ca="1" si="11"/>
        <v>0.23015873015873015</v>
      </c>
      <c r="T225" s="10"/>
    </row>
    <row r="226" spans="2:20" x14ac:dyDescent="0.2">
      <c r="B226" s="5" t="s">
        <v>1567</v>
      </c>
      <c r="C226" s="3">
        <v>30.55</v>
      </c>
      <c r="D226" s="3">
        <v>0</v>
      </c>
      <c r="E226" s="3">
        <v>24.05</v>
      </c>
      <c r="F226" s="3">
        <v>27.6</v>
      </c>
      <c r="G226" s="3">
        <v>1</v>
      </c>
      <c r="H226" s="3">
        <v>1479</v>
      </c>
      <c r="I226" s="3">
        <v>120</v>
      </c>
      <c r="J226" s="5" t="s">
        <v>1568</v>
      </c>
      <c r="K226" s="3">
        <v>0.57999999999999996</v>
      </c>
      <c r="L226" s="3">
        <v>0.18</v>
      </c>
      <c r="M226" s="3">
        <v>0.5</v>
      </c>
      <c r="N226" s="3">
        <v>0.55000000000000004</v>
      </c>
      <c r="O226" s="3">
        <v>6</v>
      </c>
      <c r="P226" s="3">
        <v>3431</v>
      </c>
      <c r="Q226" s="10">
        <f t="shared" ca="1" si="9"/>
        <v>42487</v>
      </c>
      <c r="R226" s="10">
        <f t="shared" ca="1" si="10"/>
        <v>42566</v>
      </c>
      <c r="S226" s="11">
        <f t="shared" ca="1" si="11"/>
        <v>0.23015873015873015</v>
      </c>
      <c r="T226" s="10"/>
    </row>
    <row r="227" spans="2:20" x14ac:dyDescent="0.2">
      <c r="B227" s="5" t="s">
        <v>1569</v>
      </c>
      <c r="C227" s="3">
        <v>22</v>
      </c>
      <c r="D227" s="3">
        <v>0</v>
      </c>
      <c r="E227" s="3">
        <v>21.65</v>
      </c>
      <c r="F227" s="3">
        <v>25.1</v>
      </c>
      <c r="G227" s="3">
        <v>2</v>
      </c>
      <c r="H227" s="3">
        <v>830</v>
      </c>
      <c r="I227" s="3">
        <v>125</v>
      </c>
      <c r="J227" s="5" t="s">
        <v>1570</v>
      </c>
      <c r="K227" s="3">
        <v>0.54</v>
      </c>
      <c r="L227" s="3">
        <v>0</v>
      </c>
      <c r="M227" s="3">
        <v>0.78</v>
      </c>
      <c r="N227" s="3">
        <v>0.83</v>
      </c>
      <c r="O227" s="3">
        <v>9</v>
      </c>
      <c r="P227" s="3">
        <v>1497</v>
      </c>
      <c r="Q227" s="10">
        <f t="shared" ca="1" si="9"/>
        <v>42487</v>
      </c>
      <c r="R227" s="10">
        <f t="shared" ca="1" si="10"/>
        <v>42566</v>
      </c>
      <c r="S227" s="11">
        <f t="shared" ca="1" si="11"/>
        <v>0.23015873015873015</v>
      </c>
      <c r="T227" s="10"/>
    </row>
    <row r="228" spans="2:20" x14ac:dyDescent="0.2">
      <c r="B228" s="5" t="s">
        <v>1571</v>
      </c>
      <c r="C228" s="3">
        <v>16.559999999999999</v>
      </c>
      <c r="D228" s="3">
        <v>-2.65</v>
      </c>
      <c r="E228" s="3">
        <v>15.45</v>
      </c>
      <c r="F228" s="3">
        <v>16.75</v>
      </c>
      <c r="G228" s="3">
        <v>8</v>
      </c>
      <c r="H228" s="3">
        <v>1042</v>
      </c>
      <c r="I228" s="3">
        <v>130</v>
      </c>
      <c r="J228" s="5" t="s">
        <v>1572</v>
      </c>
      <c r="K228" s="3">
        <v>1.39</v>
      </c>
      <c r="L228" s="3">
        <v>0.39</v>
      </c>
      <c r="M228" s="3">
        <v>1.23</v>
      </c>
      <c r="N228" s="3">
        <v>1.3</v>
      </c>
      <c r="O228" s="3">
        <v>63</v>
      </c>
      <c r="P228" s="3">
        <v>1581</v>
      </c>
      <c r="Q228" s="10">
        <f t="shared" ca="1" si="9"/>
        <v>42487</v>
      </c>
      <c r="R228" s="10">
        <f t="shared" ca="1" si="10"/>
        <v>42566</v>
      </c>
      <c r="S228" s="11">
        <f t="shared" ca="1" si="11"/>
        <v>0.23015873015873015</v>
      </c>
      <c r="T228" s="10"/>
    </row>
    <row r="229" spans="2:20" x14ac:dyDescent="0.2">
      <c r="B229" s="5" t="s">
        <v>1573</v>
      </c>
      <c r="C229" s="3">
        <v>11.45</v>
      </c>
      <c r="D229" s="3">
        <v>-2.75</v>
      </c>
      <c r="E229" s="3">
        <v>11.7</v>
      </c>
      <c r="F229" s="3">
        <v>12</v>
      </c>
      <c r="G229" s="3">
        <v>193</v>
      </c>
      <c r="H229" s="3">
        <v>1994</v>
      </c>
      <c r="I229" s="3">
        <v>135</v>
      </c>
      <c r="J229" s="5" t="s">
        <v>1574</v>
      </c>
      <c r="K229" s="3">
        <v>2.0699999999999998</v>
      </c>
      <c r="L229" s="3">
        <v>0.32</v>
      </c>
      <c r="M229" s="3">
        <v>2</v>
      </c>
      <c r="N229" s="3">
        <v>2.08</v>
      </c>
      <c r="O229" s="3">
        <v>180</v>
      </c>
      <c r="P229" s="3">
        <v>2260</v>
      </c>
      <c r="Q229" s="10">
        <f t="shared" ca="1" si="9"/>
        <v>42487</v>
      </c>
      <c r="R229" s="10">
        <f t="shared" ca="1" si="10"/>
        <v>42566</v>
      </c>
      <c r="S229" s="11">
        <f t="shared" ca="1" si="11"/>
        <v>0.23015873015873015</v>
      </c>
      <c r="T229" s="10"/>
    </row>
    <row r="230" spans="2:20" x14ac:dyDescent="0.2">
      <c r="B230" s="5" t="s">
        <v>1575</v>
      </c>
      <c r="C230" s="3">
        <v>8.15</v>
      </c>
      <c r="D230" s="3">
        <v>-1.32</v>
      </c>
      <c r="E230" s="3">
        <v>8</v>
      </c>
      <c r="F230" s="3">
        <v>8.1999999999999993</v>
      </c>
      <c r="G230" s="3">
        <v>55</v>
      </c>
      <c r="H230" s="3">
        <v>3979</v>
      </c>
      <c r="I230" s="3">
        <v>140</v>
      </c>
      <c r="J230" s="5" t="s">
        <v>1576</v>
      </c>
      <c r="K230" s="3">
        <v>3.4</v>
      </c>
      <c r="L230" s="3">
        <v>0.43</v>
      </c>
      <c r="M230" s="3">
        <v>3.2</v>
      </c>
      <c r="N230" s="3">
        <v>3.35</v>
      </c>
      <c r="O230" s="3">
        <v>239</v>
      </c>
      <c r="P230" s="3">
        <v>2898</v>
      </c>
      <c r="Q230" s="10">
        <f t="shared" ca="1" si="9"/>
        <v>42487</v>
      </c>
      <c r="R230" s="10">
        <f t="shared" ca="1" si="10"/>
        <v>42566</v>
      </c>
      <c r="S230" s="11">
        <f t="shared" ca="1" si="11"/>
        <v>0.23015873015873015</v>
      </c>
      <c r="T230" s="10"/>
    </row>
    <row r="231" spans="2:20" x14ac:dyDescent="0.2">
      <c r="B231" s="5" t="s">
        <v>1577</v>
      </c>
      <c r="C231" s="3">
        <v>5</v>
      </c>
      <c r="D231" s="3">
        <v>-0.44</v>
      </c>
      <c r="E231" s="3">
        <v>4.95</v>
      </c>
      <c r="F231" s="3">
        <v>5.0999999999999996</v>
      </c>
      <c r="G231" s="3">
        <v>218</v>
      </c>
      <c r="H231" s="3">
        <v>6475</v>
      </c>
      <c r="I231" s="3">
        <v>145</v>
      </c>
      <c r="J231" s="5" t="s">
        <v>1578</v>
      </c>
      <c r="K231" s="3">
        <v>5.25</v>
      </c>
      <c r="L231" s="3">
        <v>0.68</v>
      </c>
      <c r="M231" s="3">
        <v>5.15</v>
      </c>
      <c r="N231" s="3">
        <v>5.3</v>
      </c>
      <c r="O231" s="3">
        <v>260</v>
      </c>
      <c r="P231" s="3">
        <v>2336</v>
      </c>
      <c r="Q231" s="10">
        <f t="shared" ca="1" si="9"/>
        <v>42487</v>
      </c>
      <c r="R231" s="10">
        <f t="shared" ca="1" si="10"/>
        <v>42566</v>
      </c>
      <c r="S231" s="11">
        <f t="shared" ca="1" si="11"/>
        <v>0.23015873015873015</v>
      </c>
      <c r="T231" s="10"/>
    </row>
    <row r="232" spans="2:20" x14ac:dyDescent="0.2">
      <c r="B232" s="5" t="s">
        <v>1579</v>
      </c>
      <c r="C232" s="3">
        <v>2.83</v>
      </c>
      <c r="D232" s="3">
        <v>-0.37</v>
      </c>
      <c r="E232" s="3">
        <v>2.76</v>
      </c>
      <c r="F232" s="3">
        <v>2.86</v>
      </c>
      <c r="G232" s="3">
        <v>172</v>
      </c>
      <c r="H232" s="3">
        <v>4571</v>
      </c>
      <c r="I232" s="3">
        <v>150</v>
      </c>
      <c r="J232" s="5" t="s">
        <v>1580</v>
      </c>
      <c r="K232" s="3">
        <v>7.96</v>
      </c>
      <c r="L232" s="3">
        <v>0.61</v>
      </c>
      <c r="M232" s="3">
        <v>7.9</v>
      </c>
      <c r="N232" s="3">
        <v>8.0500000000000007</v>
      </c>
      <c r="O232" s="3">
        <v>105</v>
      </c>
      <c r="P232" s="3">
        <v>2129</v>
      </c>
      <c r="Q232" s="10">
        <f t="shared" ca="1" si="9"/>
        <v>42487</v>
      </c>
      <c r="R232" s="10">
        <f t="shared" ca="1" si="10"/>
        <v>42566</v>
      </c>
      <c r="S232" s="11">
        <f t="shared" ca="1" si="11"/>
        <v>0.23015873015873015</v>
      </c>
      <c r="T232" s="10"/>
    </row>
    <row r="233" spans="2:20" x14ac:dyDescent="0.2">
      <c r="B233" s="5" t="s">
        <v>1581</v>
      </c>
      <c r="C233" s="3">
        <v>1.4</v>
      </c>
      <c r="D233" s="3">
        <v>-0.15</v>
      </c>
      <c r="E233" s="3">
        <v>1.34</v>
      </c>
      <c r="F233" s="3">
        <v>1.43</v>
      </c>
      <c r="G233" s="3">
        <v>160</v>
      </c>
      <c r="H233" s="3">
        <v>17527</v>
      </c>
      <c r="I233" s="3">
        <v>155</v>
      </c>
      <c r="J233" s="5" t="s">
        <v>1582</v>
      </c>
      <c r="K233" s="3">
        <v>11.5</v>
      </c>
      <c r="L233" s="3">
        <v>0.87</v>
      </c>
      <c r="M233" s="3">
        <v>11.25</v>
      </c>
      <c r="N233" s="3">
        <v>12.25</v>
      </c>
      <c r="O233" s="3">
        <v>9</v>
      </c>
      <c r="P233" s="3">
        <v>755</v>
      </c>
      <c r="Q233" s="10">
        <f t="shared" ca="1" si="9"/>
        <v>42487</v>
      </c>
      <c r="R233" s="10">
        <f t="shared" ca="1" si="10"/>
        <v>42566</v>
      </c>
      <c r="S233" s="11">
        <f t="shared" ca="1" si="11"/>
        <v>0.23015873015873015</v>
      </c>
      <c r="T233" s="10"/>
    </row>
    <row r="234" spans="2:20" x14ac:dyDescent="0.2">
      <c r="B234" s="5" t="s">
        <v>1583</v>
      </c>
      <c r="C234" s="3">
        <v>0.6</v>
      </c>
      <c r="D234" s="3">
        <v>-0.14000000000000001</v>
      </c>
      <c r="E234" s="3">
        <v>0.59</v>
      </c>
      <c r="F234" s="3">
        <v>0.65</v>
      </c>
      <c r="G234" s="3">
        <v>46</v>
      </c>
      <c r="H234" s="3">
        <v>2117</v>
      </c>
      <c r="I234" s="3">
        <v>160</v>
      </c>
      <c r="J234" s="5" t="s">
        <v>1584</v>
      </c>
      <c r="K234" s="3">
        <v>14</v>
      </c>
      <c r="L234" s="3">
        <v>1.5</v>
      </c>
      <c r="M234" s="3">
        <v>13.1</v>
      </c>
      <c r="N234" s="3">
        <v>14.85</v>
      </c>
      <c r="O234" s="3">
        <v>3</v>
      </c>
      <c r="P234" s="3">
        <v>104</v>
      </c>
      <c r="Q234" s="10">
        <f t="shared" ca="1" si="9"/>
        <v>42487</v>
      </c>
      <c r="R234" s="10">
        <f t="shared" ca="1" si="10"/>
        <v>42566</v>
      </c>
      <c r="S234" s="11">
        <f t="shared" ca="1" si="11"/>
        <v>0.23015873015873015</v>
      </c>
      <c r="T234" s="10"/>
    </row>
    <row r="235" spans="2:20" x14ac:dyDescent="0.2">
      <c r="B235" s="5" t="s">
        <v>1585</v>
      </c>
      <c r="C235" s="3">
        <v>0.44</v>
      </c>
      <c r="D235" s="3">
        <v>0.04</v>
      </c>
      <c r="E235" s="3">
        <v>0.24</v>
      </c>
      <c r="F235" s="3">
        <v>0.28000000000000003</v>
      </c>
      <c r="G235" s="3">
        <v>6</v>
      </c>
      <c r="H235" s="3">
        <v>1894</v>
      </c>
      <c r="I235" s="3">
        <v>165</v>
      </c>
      <c r="J235" s="5" t="s">
        <v>1586</v>
      </c>
      <c r="K235" s="3">
        <v>18</v>
      </c>
      <c r="L235" s="3">
        <v>2</v>
      </c>
      <c r="M235" s="3">
        <v>17</v>
      </c>
      <c r="N235" s="3">
        <v>18.8</v>
      </c>
      <c r="O235" s="3">
        <v>20</v>
      </c>
      <c r="P235" s="3">
        <v>68</v>
      </c>
      <c r="Q235" s="10">
        <f t="shared" ca="1" si="9"/>
        <v>42487</v>
      </c>
      <c r="R235" s="10">
        <f t="shared" ca="1" si="10"/>
        <v>42566</v>
      </c>
      <c r="S235" s="11">
        <f t="shared" ca="1" si="11"/>
        <v>0.23015873015873015</v>
      </c>
      <c r="T235" s="10"/>
    </row>
    <row r="236" spans="2:20" x14ac:dyDescent="0.2">
      <c r="B236" s="5" t="s">
        <v>1587</v>
      </c>
      <c r="C236" s="3">
        <v>0.1</v>
      </c>
      <c r="D236" s="3">
        <v>-0.05</v>
      </c>
      <c r="E236" s="3">
        <v>0.1</v>
      </c>
      <c r="F236" s="3">
        <v>0.13</v>
      </c>
      <c r="G236" s="3">
        <v>20</v>
      </c>
      <c r="H236" s="3">
        <v>1800</v>
      </c>
      <c r="I236" s="3">
        <v>170</v>
      </c>
      <c r="J236" s="5" t="s">
        <v>1588</v>
      </c>
      <c r="K236" s="3">
        <v>20.350000000000001</v>
      </c>
      <c r="L236" s="3">
        <v>0</v>
      </c>
      <c r="M236" s="3">
        <v>18.8</v>
      </c>
      <c r="N236" s="3">
        <v>21.35</v>
      </c>
      <c r="O236" s="3">
        <v>5</v>
      </c>
      <c r="P236" s="3">
        <v>153</v>
      </c>
      <c r="Q236" s="10">
        <f t="shared" ca="1" si="9"/>
        <v>42487</v>
      </c>
      <c r="R236" s="10">
        <f t="shared" ca="1" si="10"/>
        <v>42566</v>
      </c>
      <c r="S236" s="11">
        <f t="shared" ca="1" si="11"/>
        <v>0.23015873015873015</v>
      </c>
      <c r="T236" s="10"/>
    </row>
    <row r="237" spans="2:20" x14ac:dyDescent="0.2">
      <c r="B237" s="5" t="s">
        <v>1589</v>
      </c>
      <c r="C237" s="3">
        <v>0.11</v>
      </c>
      <c r="D237" s="3">
        <v>0</v>
      </c>
      <c r="E237" s="3">
        <v>7.0000000000000007E-2</v>
      </c>
      <c r="F237" s="3">
        <v>0.1</v>
      </c>
      <c r="G237" s="3">
        <v>1</v>
      </c>
      <c r="H237" s="3">
        <v>82</v>
      </c>
      <c r="I237" s="3">
        <v>175</v>
      </c>
      <c r="J237" s="5" t="s">
        <v>1590</v>
      </c>
      <c r="K237" s="3">
        <v>27.3</v>
      </c>
      <c r="L237" s="3">
        <v>0</v>
      </c>
      <c r="M237" s="3">
        <v>28.85</v>
      </c>
      <c r="N237" s="3">
        <v>32.25</v>
      </c>
      <c r="O237" s="3">
        <v>1</v>
      </c>
      <c r="P237" s="3">
        <v>50</v>
      </c>
      <c r="Q237" s="10">
        <f t="shared" ca="1" si="9"/>
        <v>42487</v>
      </c>
      <c r="R237" s="10">
        <f t="shared" ca="1" si="10"/>
        <v>42566</v>
      </c>
      <c r="S237" s="11">
        <f t="shared" ca="1" si="11"/>
        <v>0.23015873015873015</v>
      </c>
      <c r="T237" s="10"/>
    </row>
    <row r="238" spans="2:20" x14ac:dyDescent="0.2">
      <c r="B238" s="5" t="s">
        <v>1591</v>
      </c>
      <c r="C238" s="3">
        <v>0.04</v>
      </c>
      <c r="D238" s="3">
        <v>0.01</v>
      </c>
      <c r="E238" s="3">
        <v>0.02</v>
      </c>
      <c r="F238" s="3">
        <v>0.08</v>
      </c>
      <c r="G238" s="3">
        <v>100</v>
      </c>
      <c r="H238" s="3">
        <v>612</v>
      </c>
      <c r="I238" s="3">
        <v>180</v>
      </c>
      <c r="J238" s="5" t="s">
        <v>1592</v>
      </c>
      <c r="K238" s="3">
        <v>58.11</v>
      </c>
      <c r="L238" s="3">
        <v>0</v>
      </c>
      <c r="M238" s="3">
        <v>30.85</v>
      </c>
      <c r="N238" s="3">
        <v>34.700000000000003</v>
      </c>
      <c r="O238" s="3">
        <v>0</v>
      </c>
      <c r="P238" s="3">
        <v>17</v>
      </c>
      <c r="Q238" s="10">
        <f t="shared" ca="1" si="9"/>
        <v>42487</v>
      </c>
      <c r="R238" s="10">
        <f t="shared" ca="1" si="10"/>
        <v>42566</v>
      </c>
      <c r="S238" s="11">
        <f t="shared" ca="1" si="11"/>
        <v>0.23015873015873015</v>
      </c>
      <c r="T238" s="10"/>
    </row>
    <row r="239" spans="2:20" x14ac:dyDescent="0.2">
      <c r="B239" s="5" t="s">
        <v>1593</v>
      </c>
      <c r="C239" s="3">
        <v>0.04</v>
      </c>
      <c r="D239" s="3">
        <v>0</v>
      </c>
      <c r="E239" s="3">
        <v>0</v>
      </c>
      <c r="F239" s="3">
        <v>0.09</v>
      </c>
      <c r="G239" s="3">
        <v>0</v>
      </c>
      <c r="H239" s="3">
        <v>151</v>
      </c>
      <c r="I239" s="3">
        <v>185</v>
      </c>
      <c r="J239" s="5" t="s">
        <v>1594</v>
      </c>
      <c r="K239" s="3">
        <v>0</v>
      </c>
      <c r="L239" s="3">
        <v>0</v>
      </c>
      <c r="M239" s="3">
        <v>44.05</v>
      </c>
      <c r="N239" s="3">
        <v>48.35</v>
      </c>
      <c r="O239" s="3">
        <v>0</v>
      </c>
      <c r="P239" s="3">
        <v>0</v>
      </c>
      <c r="Q239" s="10">
        <f t="shared" ca="1" si="9"/>
        <v>42487</v>
      </c>
      <c r="R239" s="10">
        <f t="shared" ca="1" si="10"/>
        <v>42566</v>
      </c>
      <c r="S239" s="11">
        <f t="shared" ca="1" si="11"/>
        <v>0.23015873015873015</v>
      </c>
      <c r="T239" s="10"/>
    </row>
    <row r="240" spans="2:20" x14ac:dyDescent="0.2">
      <c r="B240" s="5" t="s">
        <v>1595</v>
      </c>
      <c r="C240" s="3">
        <v>0</v>
      </c>
      <c r="D240" s="3">
        <v>0</v>
      </c>
      <c r="E240" s="3">
        <v>0</v>
      </c>
      <c r="F240" s="3">
        <v>0.1</v>
      </c>
      <c r="G240" s="3">
        <v>0</v>
      </c>
      <c r="H240" s="3">
        <v>0</v>
      </c>
      <c r="I240" s="3">
        <v>190</v>
      </c>
      <c r="J240" s="5" t="s">
        <v>1596</v>
      </c>
      <c r="K240" s="3">
        <v>39.39</v>
      </c>
      <c r="L240" s="3">
        <v>-29.78</v>
      </c>
      <c r="M240" s="3">
        <v>37.049999999999997</v>
      </c>
      <c r="N240" s="3">
        <v>40.950000000000003</v>
      </c>
      <c r="O240" s="3">
        <v>1</v>
      </c>
      <c r="P240" s="3">
        <v>1</v>
      </c>
      <c r="Q240" s="10">
        <f t="shared" ca="1" si="9"/>
        <v>42487</v>
      </c>
      <c r="R240" s="10">
        <f t="shared" ca="1" si="10"/>
        <v>42566</v>
      </c>
      <c r="S240" s="11">
        <f t="shared" ca="1" si="11"/>
        <v>0.23015873015873015</v>
      </c>
      <c r="T240" s="10"/>
    </row>
    <row r="241" spans="2:20" x14ac:dyDescent="0.2">
      <c r="B241" s="5" t="s">
        <v>1597</v>
      </c>
      <c r="C241" s="3">
        <v>0.01</v>
      </c>
      <c r="D241" s="3">
        <v>0</v>
      </c>
      <c r="E241" s="3">
        <v>0</v>
      </c>
      <c r="F241" s="3">
        <v>0.1</v>
      </c>
      <c r="G241" s="3">
        <v>1</v>
      </c>
      <c r="H241" s="3">
        <v>3</v>
      </c>
      <c r="I241" s="3">
        <v>195</v>
      </c>
      <c r="J241" s="5" t="s">
        <v>1598</v>
      </c>
      <c r="K241" s="3">
        <v>0</v>
      </c>
      <c r="L241" s="3">
        <v>0</v>
      </c>
      <c r="M241" s="3">
        <v>53.9</v>
      </c>
      <c r="N241" s="3">
        <v>58.5</v>
      </c>
      <c r="O241" s="3">
        <v>0</v>
      </c>
      <c r="P241" s="3">
        <v>0</v>
      </c>
      <c r="Q241" s="10">
        <f t="shared" ca="1" si="9"/>
        <v>42487</v>
      </c>
      <c r="R241" s="10">
        <f t="shared" ca="1" si="10"/>
        <v>42566</v>
      </c>
      <c r="S241" s="11">
        <f t="shared" ca="1" si="11"/>
        <v>0.23015873015873015</v>
      </c>
      <c r="T241" s="10"/>
    </row>
    <row r="242" spans="2:20" x14ac:dyDescent="0.2">
      <c r="B242" s="5" t="s">
        <v>1599</v>
      </c>
      <c r="C242" s="3">
        <v>0</v>
      </c>
      <c r="D242" s="3">
        <v>0</v>
      </c>
      <c r="E242" s="3">
        <v>0</v>
      </c>
      <c r="F242" s="3">
        <v>0.08</v>
      </c>
      <c r="G242" s="3">
        <v>0</v>
      </c>
      <c r="H242" s="3">
        <v>0</v>
      </c>
      <c r="I242" s="3">
        <v>200</v>
      </c>
      <c r="J242" s="5" t="s">
        <v>1600</v>
      </c>
      <c r="K242" s="3">
        <v>67</v>
      </c>
      <c r="L242" s="3">
        <v>0</v>
      </c>
      <c r="M242" s="3">
        <v>50.65</v>
      </c>
      <c r="N242" s="3">
        <v>55.3</v>
      </c>
      <c r="O242" s="3">
        <v>0</v>
      </c>
      <c r="P242" s="3">
        <v>5</v>
      </c>
      <c r="Q242" s="10">
        <f t="shared" ca="1" si="9"/>
        <v>42487</v>
      </c>
      <c r="R242" s="10">
        <f t="shared" ca="1" si="10"/>
        <v>42566</v>
      </c>
      <c r="S242" s="11">
        <f t="shared" ca="1" si="11"/>
        <v>0.23015873015873015</v>
      </c>
      <c r="T242" s="10"/>
    </row>
    <row r="243" spans="2:20" x14ac:dyDescent="0.2">
      <c r="B243" s="5" t="s">
        <v>1601</v>
      </c>
      <c r="C243" s="3">
        <v>0</v>
      </c>
      <c r="D243" s="3">
        <v>0</v>
      </c>
      <c r="E243" s="3">
        <v>0</v>
      </c>
      <c r="F243" s="3">
        <v>7.0000000000000007E-2</v>
      </c>
      <c r="G243" s="3">
        <v>0</v>
      </c>
      <c r="H243" s="3">
        <v>0</v>
      </c>
      <c r="I243" s="3">
        <v>205</v>
      </c>
      <c r="J243" s="5" t="s">
        <v>1602</v>
      </c>
      <c r="K243" s="3">
        <v>0</v>
      </c>
      <c r="L243" s="3">
        <v>0</v>
      </c>
      <c r="M243" s="3">
        <v>63.85</v>
      </c>
      <c r="N243" s="3">
        <v>68.349999999999994</v>
      </c>
      <c r="O243" s="3">
        <v>0</v>
      </c>
      <c r="P243" s="3">
        <v>0</v>
      </c>
      <c r="Q243" s="10">
        <f t="shared" ca="1" si="9"/>
        <v>42487</v>
      </c>
      <c r="R243" s="10">
        <f t="shared" ca="1" si="10"/>
        <v>42566</v>
      </c>
      <c r="S243" s="11">
        <f t="shared" ca="1" si="11"/>
        <v>0.23015873015873015</v>
      </c>
      <c r="T243" s="10"/>
    </row>
    <row r="244" spans="2:20" x14ac:dyDescent="0.2">
      <c r="B244" s="5" t="s">
        <v>1603</v>
      </c>
      <c r="C244" s="3" t="s">
        <v>9</v>
      </c>
      <c r="D244" s="3" t="s">
        <v>9</v>
      </c>
      <c r="E244" s="3" t="s">
        <v>9</v>
      </c>
      <c r="F244" s="3" t="s">
        <v>9</v>
      </c>
      <c r="G244" s="3" t="s">
        <v>9</v>
      </c>
      <c r="H244" s="3" t="s">
        <v>9</v>
      </c>
      <c r="I244" s="3">
        <v>75</v>
      </c>
      <c r="J244" s="5" t="s">
        <v>1604</v>
      </c>
      <c r="K244" s="3">
        <v>0.06</v>
      </c>
      <c r="L244" s="3">
        <v>-0.01</v>
      </c>
      <c r="M244" s="3">
        <v>0.01</v>
      </c>
      <c r="N244" s="3">
        <v>0.09</v>
      </c>
      <c r="O244" s="3">
        <v>100</v>
      </c>
      <c r="P244" s="3">
        <v>105</v>
      </c>
      <c r="Q244" s="10">
        <f t="shared" ca="1" si="9"/>
        <v>42487</v>
      </c>
      <c r="R244" s="10">
        <f t="shared" ca="1" si="10"/>
        <v>42601</v>
      </c>
      <c r="S244" s="11">
        <f t="shared" ca="1" si="11"/>
        <v>0.32936507936507936</v>
      </c>
      <c r="T244" s="10"/>
    </row>
    <row r="245" spans="2:20" x14ac:dyDescent="0.2">
      <c r="B245" s="5" t="s">
        <v>1605</v>
      </c>
      <c r="C245" s="3" t="s">
        <v>9</v>
      </c>
      <c r="D245" s="3" t="s">
        <v>9</v>
      </c>
      <c r="E245" s="3" t="s">
        <v>9</v>
      </c>
      <c r="F245" s="3" t="s">
        <v>9</v>
      </c>
      <c r="G245" s="3" t="s">
        <v>9</v>
      </c>
      <c r="H245" s="3" t="s">
        <v>9</v>
      </c>
      <c r="I245" s="3">
        <v>85</v>
      </c>
      <c r="J245" s="5" t="s">
        <v>1606</v>
      </c>
      <c r="K245" s="3">
        <v>0.14000000000000001</v>
      </c>
      <c r="L245" s="3">
        <v>0</v>
      </c>
      <c r="M245" s="3">
        <v>0.06</v>
      </c>
      <c r="N245" s="3">
        <v>0.13</v>
      </c>
      <c r="O245" s="3">
        <v>0</v>
      </c>
      <c r="P245" s="3">
        <v>12</v>
      </c>
      <c r="Q245" s="10">
        <f t="shared" ca="1" si="9"/>
        <v>42487</v>
      </c>
      <c r="R245" s="10">
        <f t="shared" ca="1" si="10"/>
        <v>42601</v>
      </c>
      <c r="S245" s="11">
        <f t="shared" ca="1" si="11"/>
        <v>0.32936507936507936</v>
      </c>
      <c r="T245" s="10"/>
    </row>
    <row r="246" spans="2:20" x14ac:dyDescent="0.2">
      <c r="B246" s="5" t="s">
        <v>1607</v>
      </c>
      <c r="C246" s="3" t="s">
        <v>9</v>
      </c>
      <c r="D246" s="3" t="s">
        <v>9</v>
      </c>
      <c r="E246" s="3" t="s">
        <v>9</v>
      </c>
      <c r="F246" s="3" t="s">
        <v>9</v>
      </c>
      <c r="G246" s="3" t="s">
        <v>9</v>
      </c>
      <c r="H246" s="3" t="s">
        <v>9</v>
      </c>
      <c r="I246" s="3">
        <v>90</v>
      </c>
      <c r="J246" s="5" t="s">
        <v>1608</v>
      </c>
      <c r="K246" s="3">
        <v>0.1</v>
      </c>
      <c r="L246" s="3">
        <v>0</v>
      </c>
      <c r="M246" s="3">
        <v>0.09</v>
      </c>
      <c r="N246" s="3">
        <v>0.16</v>
      </c>
      <c r="O246" s="3">
        <v>20</v>
      </c>
      <c r="P246" s="3">
        <v>0</v>
      </c>
      <c r="Q246" s="10">
        <f t="shared" ca="1" si="9"/>
        <v>42487</v>
      </c>
      <c r="R246" s="10">
        <f t="shared" ca="1" si="10"/>
        <v>42601</v>
      </c>
      <c r="S246" s="11">
        <f t="shared" ca="1" si="11"/>
        <v>0.32936507936507936</v>
      </c>
      <c r="T246" s="10"/>
    </row>
    <row r="247" spans="2:20" x14ac:dyDescent="0.2">
      <c r="B247" s="5" t="s">
        <v>1609</v>
      </c>
      <c r="C247" s="3" t="s">
        <v>9</v>
      </c>
      <c r="D247" s="3" t="s">
        <v>9</v>
      </c>
      <c r="E247" s="3" t="s">
        <v>9</v>
      </c>
      <c r="F247" s="3" t="s">
        <v>9</v>
      </c>
      <c r="G247" s="3" t="s">
        <v>9</v>
      </c>
      <c r="H247" s="3" t="s">
        <v>9</v>
      </c>
      <c r="I247" s="3">
        <v>105</v>
      </c>
      <c r="J247" s="5" t="s">
        <v>1610</v>
      </c>
      <c r="K247" s="3">
        <v>0.37</v>
      </c>
      <c r="L247" s="3">
        <v>0</v>
      </c>
      <c r="M247" s="3">
        <v>0.28000000000000003</v>
      </c>
      <c r="N247" s="3">
        <v>0.4</v>
      </c>
      <c r="O247" s="3">
        <v>0</v>
      </c>
      <c r="P247" s="3">
        <v>9</v>
      </c>
      <c r="Q247" s="10">
        <f t="shared" ca="1" si="9"/>
        <v>42487</v>
      </c>
      <c r="R247" s="10">
        <f t="shared" ca="1" si="10"/>
        <v>42601</v>
      </c>
      <c r="S247" s="11">
        <f t="shared" ca="1" si="11"/>
        <v>0.32936507936507936</v>
      </c>
      <c r="T247" s="10"/>
    </row>
    <row r="248" spans="2:20" x14ac:dyDescent="0.2">
      <c r="B248" s="5" t="s">
        <v>1611</v>
      </c>
      <c r="C248" s="3" t="s">
        <v>9</v>
      </c>
      <c r="D248" s="3" t="s">
        <v>9</v>
      </c>
      <c r="E248" s="3" t="s">
        <v>9</v>
      </c>
      <c r="F248" s="3" t="s">
        <v>9</v>
      </c>
      <c r="G248" s="3" t="s">
        <v>9</v>
      </c>
      <c r="H248" s="3" t="s">
        <v>9</v>
      </c>
      <c r="I248" s="3">
        <v>110</v>
      </c>
      <c r="J248" s="5" t="s">
        <v>1612</v>
      </c>
      <c r="K248" s="3">
        <v>0.56000000000000005</v>
      </c>
      <c r="L248" s="3">
        <v>0.18</v>
      </c>
      <c r="M248" s="3">
        <v>0.51</v>
      </c>
      <c r="N248" s="3">
        <v>0.59</v>
      </c>
      <c r="O248" s="3">
        <v>18</v>
      </c>
      <c r="P248" s="3">
        <v>48</v>
      </c>
      <c r="Q248" s="10">
        <f t="shared" ca="1" si="9"/>
        <v>42487</v>
      </c>
      <c r="R248" s="10">
        <f t="shared" ca="1" si="10"/>
        <v>42601</v>
      </c>
      <c r="S248" s="11">
        <f t="shared" ca="1" si="11"/>
        <v>0.32936507936507936</v>
      </c>
      <c r="T248" s="10"/>
    </row>
    <row r="249" spans="2:20" x14ac:dyDescent="0.2">
      <c r="B249" s="5" t="s">
        <v>1613</v>
      </c>
      <c r="C249" s="3" t="s">
        <v>9</v>
      </c>
      <c r="D249" s="3" t="s">
        <v>9</v>
      </c>
      <c r="E249" s="3" t="s">
        <v>9</v>
      </c>
      <c r="F249" s="3" t="s">
        <v>9</v>
      </c>
      <c r="G249" s="3" t="s">
        <v>9</v>
      </c>
      <c r="H249" s="3" t="s">
        <v>9</v>
      </c>
      <c r="I249" s="3">
        <v>115</v>
      </c>
      <c r="J249" s="5" t="s">
        <v>1614</v>
      </c>
      <c r="K249" s="3">
        <v>0.67</v>
      </c>
      <c r="L249" s="3">
        <v>-0.15</v>
      </c>
      <c r="M249" s="3">
        <v>0.6</v>
      </c>
      <c r="N249" s="3">
        <v>0.73</v>
      </c>
      <c r="O249" s="3">
        <v>25</v>
      </c>
      <c r="P249" s="3">
        <v>1</v>
      </c>
      <c r="Q249" s="10">
        <f t="shared" ca="1" si="9"/>
        <v>42487</v>
      </c>
      <c r="R249" s="10">
        <f t="shared" ca="1" si="10"/>
        <v>42601</v>
      </c>
      <c r="S249" s="11">
        <f t="shared" ca="1" si="11"/>
        <v>0.32936507936507936</v>
      </c>
      <c r="T249" s="10"/>
    </row>
    <row r="250" spans="2:20" x14ac:dyDescent="0.2">
      <c r="B250" s="5" t="s">
        <v>1615</v>
      </c>
      <c r="C250" s="3" t="s">
        <v>9</v>
      </c>
      <c r="D250" s="3" t="s">
        <v>9</v>
      </c>
      <c r="E250" s="3" t="s">
        <v>9</v>
      </c>
      <c r="F250" s="3" t="s">
        <v>9</v>
      </c>
      <c r="G250" s="3" t="s">
        <v>9</v>
      </c>
      <c r="H250" s="3" t="s">
        <v>9</v>
      </c>
      <c r="I250" s="3">
        <v>120</v>
      </c>
      <c r="J250" s="5" t="s">
        <v>1616</v>
      </c>
      <c r="K250" s="3">
        <v>1.25</v>
      </c>
      <c r="L250" s="3">
        <v>0.4</v>
      </c>
      <c r="M250" s="3">
        <v>1.1100000000000001</v>
      </c>
      <c r="N250" s="3">
        <v>1.25</v>
      </c>
      <c r="O250" s="3">
        <v>10</v>
      </c>
      <c r="P250" s="3">
        <v>59</v>
      </c>
      <c r="Q250" s="10">
        <f t="shared" ca="1" si="9"/>
        <v>42487</v>
      </c>
      <c r="R250" s="10">
        <f t="shared" ca="1" si="10"/>
        <v>42601</v>
      </c>
      <c r="S250" s="11">
        <f t="shared" ca="1" si="11"/>
        <v>0.32936507936507936</v>
      </c>
      <c r="T250" s="10"/>
    </row>
    <row r="251" spans="2:20" x14ac:dyDescent="0.2">
      <c r="B251" s="5" t="s">
        <v>1617</v>
      </c>
      <c r="C251" s="3">
        <v>21.08</v>
      </c>
      <c r="D251" s="3">
        <v>0</v>
      </c>
      <c r="E251" s="3">
        <v>19.5</v>
      </c>
      <c r="F251" s="3">
        <v>22.2</v>
      </c>
      <c r="G251" s="3">
        <v>1</v>
      </c>
      <c r="H251" s="3">
        <v>0</v>
      </c>
      <c r="I251" s="3">
        <v>125</v>
      </c>
      <c r="J251" s="5" t="s">
        <v>1618</v>
      </c>
      <c r="K251" s="3">
        <v>1.61</v>
      </c>
      <c r="L251" s="3">
        <v>0.37</v>
      </c>
      <c r="M251" s="3">
        <v>1.63</v>
      </c>
      <c r="N251" s="3">
        <v>1.78</v>
      </c>
      <c r="O251" s="3">
        <v>18</v>
      </c>
      <c r="P251" s="3">
        <v>205</v>
      </c>
      <c r="Q251" s="10">
        <f t="shared" ca="1" si="9"/>
        <v>42487</v>
      </c>
      <c r="R251" s="10">
        <f t="shared" ca="1" si="10"/>
        <v>42601</v>
      </c>
      <c r="S251" s="11">
        <f t="shared" ca="1" si="11"/>
        <v>0.32936507936507936</v>
      </c>
      <c r="T251" s="10"/>
    </row>
    <row r="252" spans="2:20" x14ac:dyDescent="0.2">
      <c r="B252" s="5" t="s">
        <v>1619</v>
      </c>
      <c r="C252" s="3">
        <v>16.75</v>
      </c>
      <c r="D252" s="3">
        <v>0</v>
      </c>
      <c r="E252" s="3">
        <v>16.55</v>
      </c>
      <c r="F252" s="3">
        <v>17.399999999999999</v>
      </c>
      <c r="G252" s="3">
        <v>9</v>
      </c>
      <c r="H252" s="3">
        <v>2</v>
      </c>
      <c r="I252" s="3">
        <v>130</v>
      </c>
      <c r="J252" s="5" t="s">
        <v>1620</v>
      </c>
      <c r="K252" s="3">
        <v>2.5</v>
      </c>
      <c r="L252" s="3">
        <v>0.48</v>
      </c>
      <c r="M252" s="3">
        <v>2.4300000000000002</v>
      </c>
      <c r="N252" s="3">
        <v>2.56</v>
      </c>
      <c r="O252" s="3">
        <v>6</v>
      </c>
      <c r="P252" s="3">
        <v>509</v>
      </c>
      <c r="Q252" s="10">
        <f t="shared" ca="1" si="9"/>
        <v>42487</v>
      </c>
      <c r="R252" s="10">
        <f t="shared" ca="1" si="10"/>
        <v>42601</v>
      </c>
      <c r="S252" s="11">
        <f t="shared" ca="1" si="11"/>
        <v>0.32936507936507936</v>
      </c>
      <c r="T252" s="10"/>
    </row>
    <row r="253" spans="2:20" x14ac:dyDescent="0.2">
      <c r="B253" s="5" t="s">
        <v>1621</v>
      </c>
      <c r="C253" s="3">
        <v>13.4</v>
      </c>
      <c r="D253" s="3">
        <v>-1.73</v>
      </c>
      <c r="E253" s="3">
        <v>11.45</v>
      </c>
      <c r="F253" s="3">
        <v>13.25</v>
      </c>
      <c r="G253" s="3">
        <v>11</v>
      </c>
      <c r="H253" s="3">
        <v>5</v>
      </c>
      <c r="I253" s="3">
        <v>135</v>
      </c>
      <c r="J253" s="5" t="s">
        <v>1622</v>
      </c>
      <c r="K253" s="3">
        <v>3.66</v>
      </c>
      <c r="L253" s="3">
        <v>0.41</v>
      </c>
      <c r="M253" s="3">
        <v>3.55</v>
      </c>
      <c r="N253" s="3">
        <v>3.7</v>
      </c>
      <c r="O253" s="3">
        <v>31</v>
      </c>
      <c r="P253" s="3">
        <v>343</v>
      </c>
      <c r="Q253" s="10">
        <f t="shared" ca="1" si="9"/>
        <v>42487</v>
      </c>
      <c r="R253" s="10">
        <f t="shared" ca="1" si="10"/>
        <v>42601</v>
      </c>
      <c r="S253" s="11">
        <f t="shared" ca="1" si="11"/>
        <v>0.32936507936507936</v>
      </c>
      <c r="T253" s="10"/>
    </row>
    <row r="254" spans="2:20" x14ac:dyDescent="0.2">
      <c r="B254" s="5" t="s">
        <v>1623</v>
      </c>
      <c r="C254" s="3">
        <v>8.5500000000000007</v>
      </c>
      <c r="D254" s="3">
        <v>-1.6</v>
      </c>
      <c r="E254" s="3">
        <v>9.15</v>
      </c>
      <c r="F254" s="3">
        <v>9.4499999999999993</v>
      </c>
      <c r="G254" s="3">
        <v>19</v>
      </c>
      <c r="H254" s="3">
        <v>378</v>
      </c>
      <c r="I254" s="3">
        <v>140</v>
      </c>
      <c r="J254" s="5" t="s">
        <v>1624</v>
      </c>
      <c r="K254" s="3">
        <v>5.26</v>
      </c>
      <c r="L254" s="3">
        <v>0.91</v>
      </c>
      <c r="M254" s="3">
        <v>5.15</v>
      </c>
      <c r="N254" s="3">
        <v>5.3</v>
      </c>
      <c r="O254" s="3">
        <v>112</v>
      </c>
      <c r="P254" s="3">
        <v>267</v>
      </c>
      <c r="Q254" s="10">
        <f t="shared" ca="1" si="9"/>
        <v>42487</v>
      </c>
      <c r="R254" s="10">
        <f t="shared" ca="1" si="10"/>
        <v>42601</v>
      </c>
      <c r="S254" s="11">
        <f t="shared" ca="1" si="11"/>
        <v>0.32936507936507936</v>
      </c>
      <c r="T254" s="10"/>
    </row>
    <row r="255" spans="2:20" x14ac:dyDescent="0.2">
      <c r="B255" s="5" t="s">
        <v>1625</v>
      </c>
      <c r="C255" s="3">
        <v>6.2</v>
      </c>
      <c r="D255" s="3">
        <v>-1.05</v>
      </c>
      <c r="E255" s="3">
        <v>6.25</v>
      </c>
      <c r="F255" s="3">
        <v>6.45</v>
      </c>
      <c r="G255" s="3">
        <v>153</v>
      </c>
      <c r="H255" s="3">
        <v>643</v>
      </c>
      <c r="I255" s="3">
        <v>145</v>
      </c>
      <c r="J255" s="5" t="s">
        <v>1626</v>
      </c>
      <c r="K255" s="3">
        <v>7.79</v>
      </c>
      <c r="L255" s="3">
        <v>0.89</v>
      </c>
      <c r="M255" s="3">
        <v>7.3</v>
      </c>
      <c r="N255" s="3">
        <v>7.5</v>
      </c>
      <c r="O255" s="3">
        <v>80</v>
      </c>
      <c r="P255" s="3">
        <v>80</v>
      </c>
      <c r="Q255" s="10">
        <f t="shared" ca="1" si="9"/>
        <v>42487</v>
      </c>
      <c r="R255" s="10">
        <f t="shared" ca="1" si="10"/>
        <v>42601</v>
      </c>
      <c r="S255" s="11">
        <f t="shared" ca="1" si="11"/>
        <v>0.32936507936507936</v>
      </c>
      <c r="T255" s="10"/>
    </row>
    <row r="256" spans="2:20" x14ac:dyDescent="0.2">
      <c r="B256" s="5" t="s">
        <v>1627</v>
      </c>
      <c r="C256" s="3">
        <v>3.95</v>
      </c>
      <c r="D256" s="3">
        <v>-0.75</v>
      </c>
      <c r="E256" s="3">
        <v>3.95</v>
      </c>
      <c r="F256" s="3">
        <v>4.1500000000000004</v>
      </c>
      <c r="G256" s="3">
        <v>76</v>
      </c>
      <c r="H256" s="3">
        <v>536</v>
      </c>
      <c r="I256" s="3">
        <v>150</v>
      </c>
      <c r="J256" s="5" t="s">
        <v>1628</v>
      </c>
      <c r="K256" s="3">
        <v>10.35</v>
      </c>
      <c r="L256" s="3">
        <v>0.85</v>
      </c>
      <c r="M256" s="3">
        <v>10.1</v>
      </c>
      <c r="N256" s="3">
        <v>10.35</v>
      </c>
      <c r="O256" s="3">
        <v>40</v>
      </c>
      <c r="P256" s="3">
        <v>823</v>
      </c>
      <c r="Q256" s="10">
        <f t="shared" ca="1" si="9"/>
        <v>42487</v>
      </c>
      <c r="R256" s="10">
        <f t="shared" ca="1" si="10"/>
        <v>42601</v>
      </c>
      <c r="S256" s="11">
        <f t="shared" ca="1" si="11"/>
        <v>0.32936507936507936</v>
      </c>
      <c r="T256" s="10"/>
    </row>
    <row r="257" spans="2:20" x14ac:dyDescent="0.2">
      <c r="B257" s="5" t="s">
        <v>1629</v>
      </c>
      <c r="C257" s="3">
        <v>2.35</v>
      </c>
      <c r="D257" s="3">
        <v>-0.35</v>
      </c>
      <c r="E257" s="3">
        <v>2.3199999999999998</v>
      </c>
      <c r="F257" s="3">
        <v>2.44</v>
      </c>
      <c r="G257" s="3">
        <v>11</v>
      </c>
      <c r="H257" s="3">
        <v>522</v>
      </c>
      <c r="I257" s="3">
        <v>155</v>
      </c>
      <c r="J257" s="5" t="s">
        <v>1630</v>
      </c>
      <c r="K257" s="3">
        <v>13.75</v>
      </c>
      <c r="L257" s="3">
        <v>2.0499999999999998</v>
      </c>
      <c r="M257" s="3">
        <v>13.5</v>
      </c>
      <c r="N257" s="3">
        <v>13.8</v>
      </c>
      <c r="O257" s="3">
        <v>89</v>
      </c>
      <c r="P257" s="3">
        <v>367</v>
      </c>
      <c r="Q257" s="10">
        <f t="shared" ca="1" si="9"/>
        <v>42487</v>
      </c>
      <c r="R257" s="10">
        <f t="shared" ca="1" si="10"/>
        <v>42601</v>
      </c>
      <c r="S257" s="11">
        <f t="shared" ca="1" si="11"/>
        <v>0.32936507936507936</v>
      </c>
      <c r="T257" s="10"/>
    </row>
    <row r="258" spans="2:20" x14ac:dyDescent="0.2">
      <c r="B258" s="5" t="s">
        <v>1631</v>
      </c>
      <c r="C258" s="3">
        <v>1.2</v>
      </c>
      <c r="D258" s="3">
        <v>-0.3</v>
      </c>
      <c r="E258" s="3">
        <v>1.25</v>
      </c>
      <c r="F258" s="3">
        <v>1.37</v>
      </c>
      <c r="G258" s="3">
        <v>7</v>
      </c>
      <c r="H258" s="3">
        <v>567</v>
      </c>
      <c r="I258" s="3">
        <v>160</v>
      </c>
      <c r="J258" s="5" t="s">
        <v>1632</v>
      </c>
      <c r="K258" s="3">
        <v>14.1</v>
      </c>
      <c r="L258" s="3">
        <v>0</v>
      </c>
      <c r="M258" s="3">
        <v>14.75</v>
      </c>
      <c r="N258" s="3">
        <v>16.75</v>
      </c>
      <c r="O258" s="3">
        <v>0</v>
      </c>
      <c r="P258" s="3">
        <v>1</v>
      </c>
      <c r="Q258" s="10">
        <f t="shared" ca="1" si="9"/>
        <v>42487</v>
      </c>
      <c r="R258" s="10">
        <f t="shared" ca="1" si="10"/>
        <v>42601</v>
      </c>
      <c r="S258" s="11">
        <f t="shared" ca="1" si="11"/>
        <v>0.32936507936507936</v>
      </c>
      <c r="T258" s="10"/>
    </row>
    <row r="259" spans="2:20" x14ac:dyDescent="0.2">
      <c r="B259" s="5" t="s">
        <v>1633</v>
      </c>
      <c r="C259" s="3">
        <v>0.65</v>
      </c>
      <c r="D259" s="3">
        <v>-0.34</v>
      </c>
      <c r="E259" s="3">
        <v>0.64</v>
      </c>
      <c r="F259" s="3">
        <v>0.74</v>
      </c>
      <c r="G259" s="3">
        <v>16</v>
      </c>
      <c r="H259" s="3">
        <v>388</v>
      </c>
      <c r="I259" s="3">
        <v>165</v>
      </c>
      <c r="J259" s="5" t="s">
        <v>1634</v>
      </c>
      <c r="K259" s="3" t="s">
        <v>9</v>
      </c>
      <c r="L259" s="3" t="s">
        <v>9</v>
      </c>
      <c r="M259" s="3" t="s">
        <v>9</v>
      </c>
      <c r="N259" s="3" t="s">
        <v>9</v>
      </c>
      <c r="O259" s="3" t="s">
        <v>9</v>
      </c>
      <c r="P259" s="3" t="s">
        <v>9</v>
      </c>
      <c r="Q259" s="10">
        <f t="shared" ca="1" si="9"/>
        <v>42487</v>
      </c>
      <c r="R259" s="10">
        <f t="shared" ca="1" si="10"/>
        <v>42601</v>
      </c>
      <c r="S259" s="11">
        <f t="shared" ca="1" si="11"/>
        <v>0.32936507936507936</v>
      </c>
      <c r="T259" s="10"/>
    </row>
    <row r="260" spans="2:20" x14ac:dyDescent="0.2">
      <c r="B260" s="5" t="s">
        <v>1635</v>
      </c>
      <c r="C260" s="3">
        <v>0.28000000000000003</v>
      </c>
      <c r="D260" s="3">
        <v>-0.28000000000000003</v>
      </c>
      <c r="E260" s="3">
        <v>0.31</v>
      </c>
      <c r="F260" s="3">
        <v>0.38</v>
      </c>
      <c r="G260" s="3">
        <v>1</v>
      </c>
      <c r="H260" s="3">
        <v>274</v>
      </c>
      <c r="I260" s="3">
        <v>170</v>
      </c>
      <c r="J260" s="5" t="s">
        <v>1636</v>
      </c>
      <c r="K260" s="3" t="s">
        <v>9</v>
      </c>
      <c r="L260" s="3" t="s">
        <v>9</v>
      </c>
      <c r="M260" s="3" t="s">
        <v>9</v>
      </c>
      <c r="N260" s="3" t="s">
        <v>9</v>
      </c>
      <c r="O260" s="3" t="s">
        <v>9</v>
      </c>
      <c r="P260" s="3" t="s">
        <v>9</v>
      </c>
      <c r="Q260" s="10">
        <f t="shared" ca="1" si="9"/>
        <v>42487</v>
      </c>
      <c r="R260" s="10">
        <f t="shared" ca="1" si="10"/>
        <v>42601</v>
      </c>
      <c r="S260" s="11">
        <f t="shared" ca="1" si="11"/>
        <v>0.32936507936507936</v>
      </c>
      <c r="T260" s="10"/>
    </row>
    <row r="261" spans="2:20" x14ac:dyDescent="0.2">
      <c r="B261" s="5" t="s">
        <v>1637</v>
      </c>
      <c r="C261" s="3">
        <v>0.25</v>
      </c>
      <c r="D261" s="3">
        <v>0</v>
      </c>
      <c r="E261" s="3">
        <v>0.2</v>
      </c>
      <c r="F261" s="3">
        <v>0.32</v>
      </c>
      <c r="G261" s="3">
        <v>25</v>
      </c>
      <c r="H261" s="3">
        <v>78</v>
      </c>
      <c r="I261" s="3">
        <v>175</v>
      </c>
      <c r="J261" s="5" t="s">
        <v>1638</v>
      </c>
      <c r="K261" s="3">
        <v>27.3</v>
      </c>
      <c r="L261" s="3">
        <v>0</v>
      </c>
      <c r="M261" s="3">
        <v>29.75</v>
      </c>
      <c r="N261" s="3">
        <v>33.549999999999997</v>
      </c>
      <c r="O261" s="3">
        <v>1</v>
      </c>
      <c r="P261" s="3">
        <v>1</v>
      </c>
      <c r="Q261" s="10">
        <f t="shared" ca="1" si="9"/>
        <v>42487</v>
      </c>
      <c r="R261" s="10">
        <f t="shared" ca="1" si="10"/>
        <v>42601</v>
      </c>
      <c r="S261" s="11">
        <f t="shared" ca="1" si="11"/>
        <v>0.32936507936507936</v>
      </c>
      <c r="T261" s="10"/>
    </row>
    <row r="262" spans="2:20" x14ac:dyDescent="0.2">
      <c r="B262" s="5" t="s">
        <v>1639</v>
      </c>
      <c r="C262" s="3">
        <v>0.17</v>
      </c>
      <c r="D262" s="3">
        <v>0</v>
      </c>
      <c r="E262" s="3">
        <v>0.08</v>
      </c>
      <c r="F262" s="3">
        <v>0.17</v>
      </c>
      <c r="G262" s="3">
        <v>0</v>
      </c>
      <c r="H262" s="3">
        <v>169</v>
      </c>
      <c r="I262" s="3">
        <v>180</v>
      </c>
      <c r="J262" s="5" t="s">
        <v>1640</v>
      </c>
      <c r="K262" s="3" t="s">
        <v>9</v>
      </c>
      <c r="L262" s="3" t="s">
        <v>9</v>
      </c>
      <c r="M262" s="3" t="s">
        <v>9</v>
      </c>
      <c r="N262" s="3" t="s">
        <v>9</v>
      </c>
      <c r="O262" s="3" t="s">
        <v>9</v>
      </c>
      <c r="P262" s="3" t="s">
        <v>9</v>
      </c>
      <c r="Q262" s="10">
        <f t="shared" ca="1" si="9"/>
        <v>42487</v>
      </c>
      <c r="R262" s="10">
        <f t="shared" ca="1" si="10"/>
        <v>42601</v>
      </c>
      <c r="S262" s="11">
        <f t="shared" ca="1" si="11"/>
        <v>0.32936507936507936</v>
      </c>
      <c r="T262" s="10"/>
    </row>
    <row r="263" spans="2:20" x14ac:dyDescent="0.2">
      <c r="B263" s="5" t="s">
        <v>1641</v>
      </c>
      <c r="C263" s="3">
        <v>7.0000000000000007E-2</v>
      </c>
      <c r="D263" s="3">
        <v>0</v>
      </c>
      <c r="E263" s="3">
        <v>0.02</v>
      </c>
      <c r="F263" s="3">
        <v>0.12</v>
      </c>
      <c r="G263" s="3">
        <v>21</v>
      </c>
      <c r="H263" s="3">
        <v>31</v>
      </c>
      <c r="I263" s="3">
        <v>185</v>
      </c>
      <c r="J263" s="5" t="s">
        <v>1642</v>
      </c>
      <c r="K263" s="3" t="s">
        <v>9</v>
      </c>
      <c r="L263" s="3" t="s">
        <v>9</v>
      </c>
      <c r="M263" s="3" t="s">
        <v>9</v>
      </c>
      <c r="N263" s="3" t="s">
        <v>9</v>
      </c>
      <c r="O263" s="3" t="s">
        <v>9</v>
      </c>
      <c r="P263" s="3" t="s">
        <v>9</v>
      </c>
      <c r="Q263" s="10">
        <f t="shared" ref="Q263:Q326" ca="1" si="12">TODAY()</f>
        <v>42487</v>
      </c>
      <c r="R263" s="10">
        <f t="shared" ref="R263:R326" ca="1" si="13">DATE(MID(B263,$R$3+1,2)+100,MID(B263,$R$3+3,2),MID(B263,$R$3+5,2))</f>
        <v>42601</v>
      </c>
      <c r="S263" s="11">
        <f t="shared" ref="S263:S326" ca="1" si="14">NETWORKDAYS(Q263,R263)/252</f>
        <v>0.32936507936507936</v>
      </c>
      <c r="T263" s="10"/>
    </row>
    <row r="264" spans="2:20" x14ac:dyDescent="0.2">
      <c r="B264" s="5" t="s">
        <v>1643</v>
      </c>
      <c r="C264" s="3">
        <v>0.03</v>
      </c>
      <c r="D264" s="3">
        <v>0</v>
      </c>
      <c r="E264" s="3">
        <v>0</v>
      </c>
      <c r="F264" s="3">
        <v>7.0000000000000007E-2</v>
      </c>
      <c r="G264" s="3">
        <v>1</v>
      </c>
      <c r="H264" s="3">
        <v>1</v>
      </c>
      <c r="I264" s="3">
        <v>195</v>
      </c>
      <c r="J264" s="5" t="s">
        <v>1644</v>
      </c>
      <c r="K264" s="3" t="s">
        <v>9</v>
      </c>
      <c r="L264" s="3" t="s">
        <v>9</v>
      </c>
      <c r="M264" s="3" t="s">
        <v>9</v>
      </c>
      <c r="N264" s="3" t="s">
        <v>9</v>
      </c>
      <c r="O264" s="3" t="s">
        <v>9</v>
      </c>
      <c r="P264" s="3" t="s">
        <v>9</v>
      </c>
      <c r="Q264" s="10">
        <f t="shared" ca="1" si="12"/>
        <v>42487</v>
      </c>
      <c r="R264" s="10">
        <f t="shared" ca="1" si="13"/>
        <v>42601</v>
      </c>
      <c r="S264" s="11">
        <f t="shared" ca="1" si="14"/>
        <v>0.32936507936507936</v>
      </c>
      <c r="T264" s="10"/>
    </row>
    <row r="265" spans="2:20" x14ac:dyDescent="0.2">
      <c r="B265" s="5" t="s">
        <v>1645</v>
      </c>
      <c r="C265" s="3">
        <v>0</v>
      </c>
      <c r="D265" s="3">
        <v>0</v>
      </c>
      <c r="E265" s="3">
        <v>68.099999999999994</v>
      </c>
      <c r="F265" s="3">
        <v>72.2</v>
      </c>
      <c r="G265" s="3">
        <v>0</v>
      </c>
      <c r="H265" s="3">
        <v>0</v>
      </c>
      <c r="I265" s="3">
        <v>70</v>
      </c>
      <c r="J265" s="5" t="s">
        <v>1646</v>
      </c>
      <c r="K265" s="3">
        <v>0.2</v>
      </c>
      <c r="L265" s="3">
        <v>0</v>
      </c>
      <c r="M265" s="3">
        <v>0.09</v>
      </c>
      <c r="N265" s="3">
        <v>0.22</v>
      </c>
      <c r="O265" s="3">
        <v>10</v>
      </c>
      <c r="P265" s="3">
        <v>20</v>
      </c>
      <c r="Q265" s="10">
        <f t="shared" ca="1" si="12"/>
        <v>42487</v>
      </c>
      <c r="R265" s="10">
        <f t="shared" ca="1" si="13"/>
        <v>42664</v>
      </c>
      <c r="S265" s="11">
        <f t="shared" ca="1" si="14"/>
        <v>0.50793650793650791</v>
      </c>
      <c r="T265" s="10"/>
    </row>
    <row r="266" spans="2:20" x14ac:dyDescent="0.2">
      <c r="B266" s="5" t="s">
        <v>1647</v>
      </c>
      <c r="C266" s="3">
        <v>0</v>
      </c>
      <c r="D266" s="3">
        <v>0</v>
      </c>
      <c r="E266" s="3">
        <v>63</v>
      </c>
      <c r="F266" s="3">
        <v>67.099999999999994</v>
      </c>
      <c r="G266" s="3">
        <v>0</v>
      </c>
      <c r="H266" s="3">
        <v>0</v>
      </c>
      <c r="I266" s="3">
        <v>75</v>
      </c>
      <c r="J266" s="5" t="s">
        <v>1648</v>
      </c>
      <c r="K266" s="3">
        <v>0.1</v>
      </c>
      <c r="L266" s="3">
        <v>-0.1</v>
      </c>
      <c r="M266" s="3">
        <v>0.08</v>
      </c>
      <c r="N266" s="3">
        <v>0.22</v>
      </c>
      <c r="O266" s="3">
        <v>1</v>
      </c>
      <c r="P266" s="3">
        <v>39</v>
      </c>
      <c r="Q266" s="10">
        <f t="shared" ca="1" si="12"/>
        <v>42487</v>
      </c>
      <c r="R266" s="10">
        <f t="shared" ca="1" si="13"/>
        <v>42664</v>
      </c>
      <c r="S266" s="11">
        <f t="shared" ca="1" si="14"/>
        <v>0.50793650793650791</v>
      </c>
      <c r="T266" s="10"/>
    </row>
    <row r="267" spans="2:20" x14ac:dyDescent="0.2">
      <c r="B267" s="5" t="s">
        <v>1649</v>
      </c>
      <c r="C267" s="3">
        <v>0</v>
      </c>
      <c r="D267" s="3">
        <v>0</v>
      </c>
      <c r="E267" s="3">
        <v>58.15</v>
      </c>
      <c r="F267" s="3">
        <v>62.25</v>
      </c>
      <c r="G267" s="3">
        <v>0</v>
      </c>
      <c r="H267" s="3">
        <v>0</v>
      </c>
      <c r="I267" s="3">
        <v>80</v>
      </c>
      <c r="J267" s="5" t="s">
        <v>1650</v>
      </c>
      <c r="K267" s="3">
        <v>0.17</v>
      </c>
      <c r="L267" s="3">
        <v>0</v>
      </c>
      <c r="M267" s="3">
        <v>0.16</v>
      </c>
      <c r="N267" s="3">
        <v>0.28999999999999998</v>
      </c>
      <c r="O267" s="3">
        <v>12</v>
      </c>
      <c r="P267" s="3">
        <v>76</v>
      </c>
      <c r="Q267" s="10">
        <f t="shared" ca="1" si="12"/>
        <v>42487</v>
      </c>
      <c r="R267" s="10">
        <f t="shared" ca="1" si="13"/>
        <v>42664</v>
      </c>
      <c r="S267" s="11">
        <f t="shared" ca="1" si="14"/>
        <v>0.50793650793650791</v>
      </c>
      <c r="T267" s="10"/>
    </row>
    <row r="268" spans="2:20" x14ac:dyDescent="0.2">
      <c r="B268" s="5" t="s">
        <v>1651</v>
      </c>
      <c r="C268" s="3">
        <v>0</v>
      </c>
      <c r="D268" s="3">
        <v>0</v>
      </c>
      <c r="E268" s="3">
        <v>53.3</v>
      </c>
      <c r="F268" s="3">
        <v>57.25</v>
      </c>
      <c r="G268" s="3">
        <v>0</v>
      </c>
      <c r="H268" s="3">
        <v>0</v>
      </c>
      <c r="I268" s="3">
        <v>85</v>
      </c>
      <c r="J268" s="5" t="s">
        <v>1652</v>
      </c>
      <c r="K268" s="3">
        <v>0.61</v>
      </c>
      <c r="L268" s="3">
        <v>0</v>
      </c>
      <c r="M268" s="3">
        <v>0.33</v>
      </c>
      <c r="N268" s="3">
        <v>0.47</v>
      </c>
      <c r="O268" s="3">
        <v>10</v>
      </c>
      <c r="P268" s="3">
        <v>45</v>
      </c>
      <c r="Q268" s="10">
        <f t="shared" ca="1" si="12"/>
        <v>42487</v>
      </c>
      <c r="R268" s="10">
        <f t="shared" ca="1" si="13"/>
        <v>42664</v>
      </c>
      <c r="S268" s="11">
        <f t="shared" ca="1" si="14"/>
        <v>0.50793650793650791</v>
      </c>
      <c r="T268" s="10"/>
    </row>
    <row r="269" spans="2:20" x14ac:dyDescent="0.2">
      <c r="B269" s="5" t="s">
        <v>1653</v>
      </c>
      <c r="C269" s="3">
        <v>0</v>
      </c>
      <c r="D269" s="3">
        <v>0</v>
      </c>
      <c r="E269" s="3">
        <v>48.3</v>
      </c>
      <c r="F269" s="3">
        <v>52.4</v>
      </c>
      <c r="G269" s="3">
        <v>0</v>
      </c>
      <c r="H269" s="3">
        <v>0</v>
      </c>
      <c r="I269" s="3">
        <v>90</v>
      </c>
      <c r="J269" s="5" t="s">
        <v>1654</v>
      </c>
      <c r="K269" s="3">
        <v>0.35</v>
      </c>
      <c r="L269" s="3">
        <v>-0.09</v>
      </c>
      <c r="M269" s="3">
        <v>0.28000000000000003</v>
      </c>
      <c r="N269" s="3">
        <v>0.42</v>
      </c>
      <c r="O269" s="3">
        <v>1</v>
      </c>
      <c r="P269" s="3">
        <v>44</v>
      </c>
      <c r="Q269" s="10">
        <f t="shared" ca="1" si="12"/>
        <v>42487</v>
      </c>
      <c r="R269" s="10">
        <f t="shared" ca="1" si="13"/>
        <v>42664</v>
      </c>
      <c r="S269" s="11">
        <f t="shared" ca="1" si="14"/>
        <v>0.50793650793650791</v>
      </c>
      <c r="T269" s="10"/>
    </row>
    <row r="270" spans="2:20" x14ac:dyDescent="0.2">
      <c r="B270" s="5" t="s">
        <v>1655</v>
      </c>
      <c r="C270" s="3">
        <v>0</v>
      </c>
      <c r="D270" s="3">
        <v>0</v>
      </c>
      <c r="E270" s="3">
        <v>43.35</v>
      </c>
      <c r="F270" s="3">
        <v>47.55</v>
      </c>
      <c r="G270" s="3">
        <v>0</v>
      </c>
      <c r="H270" s="3">
        <v>0</v>
      </c>
      <c r="I270" s="3">
        <v>95</v>
      </c>
      <c r="J270" s="5" t="s">
        <v>1656</v>
      </c>
      <c r="K270" s="3">
        <v>0.4</v>
      </c>
      <c r="L270" s="3">
        <v>0</v>
      </c>
      <c r="M270" s="3">
        <v>0.37</v>
      </c>
      <c r="N270" s="3">
        <v>0.49</v>
      </c>
      <c r="O270" s="3">
        <v>10</v>
      </c>
      <c r="P270" s="3">
        <v>37</v>
      </c>
      <c r="Q270" s="10">
        <f t="shared" ca="1" si="12"/>
        <v>42487</v>
      </c>
      <c r="R270" s="10">
        <f t="shared" ca="1" si="13"/>
        <v>42664</v>
      </c>
      <c r="S270" s="11">
        <f t="shared" ca="1" si="14"/>
        <v>0.50793650793650791</v>
      </c>
      <c r="T270" s="10"/>
    </row>
    <row r="271" spans="2:20" x14ac:dyDescent="0.2">
      <c r="B271" s="5" t="s">
        <v>1657</v>
      </c>
      <c r="C271" s="3">
        <v>0</v>
      </c>
      <c r="D271" s="3">
        <v>0</v>
      </c>
      <c r="E271" s="3">
        <v>38.65</v>
      </c>
      <c r="F271" s="3">
        <v>42.55</v>
      </c>
      <c r="G271" s="3">
        <v>0</v>
      </c>
      <c r="H271" s="3">
        <v>0</v>
      </c>
      <c r="I271" s="3">
        <v>100</v>
      </c>
      <c r="J271" s="5" t="s">
        <v>1658</v>
      </c>
      <c r="K271" s="3">
        <v>0.63</v>
      </c>
      <c r="L271" s="3">
        <v>-0.17</v>
      </c>
      <c r="M271" s="3">
        <v>0.54</v>
      </c>
      <c r="N271" s="3">
        <v>0.65</v>
      </c>
      <c r="O271" s="3">
        <v>30</v>
      </c>
      <c r="P271" s="3">
        <v>33</v>
      </c>
      <c r="Q271" s="10">
        <f t="shared" ca="1" si="12"/>
        <v>42487</v>
      </c>
      <c r="R271" s="10">
        <f t="shared" ca="1" si="13"/>
        <v>42664</v>
      </c>
      <c r="S271" s="11">
        <f t="shared" ca="1" si="14"/>
        <v>0.50793650793650791</v>
      </c>
      <c r="T271" s="10"/>
    </row>
    <row r="272" spans="2:20" x14ac:dyDescent="0.2">
      <c r="B272" s="5" t="s">
        <v>1659</v>
      </c>
      <c r="C272" s="3">
        <v>44.7</v>
      </c>
      <c r="D272" s="3">
        <v>0</v>
      </c>
      <c r="E272" s="3">
        <v>41.6</v>
      </c>
      <c r="F272" s="3">
        <v>45.45</v>
      </c>
      <c r="G272" s="3">
        <v>0</v>
      </c>
      <c r="H272" s="3">
        <v>40</v>
      </c>
      <c r="I272" s="3">
        <v>105</v>
      </c>
      <c r="J272" s="5" t="s">
        <v>1660</v>
      </c>
      <c r="K272" s="3">
        <v>0.65</v>
      </c>
      <c r="L272" s="3">
        <v>0</v>
      </c>
      <c r="M272" s="3">
        <v>0.8</v>
      </c>
      <c r="N272" s="3">
        <v>0.95</v>
      </c>
      <c r="O272" s="3">
        <v>11</v>
      </c>
      <c r="P272" s="3">
        <v>30</v>
      </c>
      <c r="Q272" s="10">
        <f t="shared" ca="1" si="12"/>
        <v>42487</v>
      </c>
      <c r="R272" s="10">
        <f t="shared" ca="1" si="13"/>
        <v>42664</v>
      </c>
      <c r="S272" s="11">
        <f t="shared" ca="1" si="14"/>
        <v>0.50793650793650791</v>
      </c>
      <c r="T272" s="10"/>
    </row>
    <row r="273" spans="2:20" x14ac:dyDescent="0.2">
      <c r="B273" s="5" t="s">
        <v>1661</v>
      </c>
      <c r="C273" s="3">
        <v>0</v>
      </c>
      <c r="D273" s="3">
        <v>0</v>
      </c>
      <c r="E273" s="3">
        <v>29.35</v>
      </c>
      <c r="F273" s="3">
        <v>32.200000000000003</v>
      </c>
      <c r="G273" s="3">
        <v>0</v>
      </c>
      <c r="H273" s="3">
        <v>0</v>
      </c>
      <c r="I273" s="3">
        <v>110</v>
      </c>
      <c r="J273" s="5" t="s">
        <v>1662</v>
      </c>
      <c r="K273" s="3">
        <v>1</v>
      </c>
      <c r="L273" s="3">
        <v>0.05</v>
      </c>
      <c r="M273" s="3">
        <v>1.07</v>
      </c>
      <c r="N273" s="3">
        <v>1.22</v>
      </c>
      <c r="O273" s="3">
        <v>40</v>
      </c>
      <c r="P273" s="3">
        <v>59</v>
      </c>
      <c r="Q273" s="10">
        <f t="shared" ca="1" si="12"/>
        <v>42487</v>
      </c>
      <c r="R273" s="10">
        <f t="shared" ca="1" si="13"/>
        <v>42664</v>
      </c>
      <c r="S273" s="11">
        <f t="shared" ca="1" si="14"/>
        <v>0.50793650793650791</v>
      </c>
      <c r="T273" s="10"/>
    </row>
    <row r="274" spans="2:20" x14ac:dyDescent="0.2">
      <c r="B274" s="5" t="s">
        <v>1663</v>
      </c>
      <c r="C274" s="3">
        <v>21.45</v>
      </c>
      <c r="D274" s="3">
        <v>0</v>
      </c>
      <c r="E274" s="3">
        <v>33.15</v>
      </c>
      <c r="F274" s="3">
        <v>35.9</v>
      </c>
      <c r="G274" s="3">
        <v>0</v>
      </c>
      <c r="H274" s="3">
        <v>1</v>
      </c>
      <c r="I274" s="3">
        <v>115</v>
      </c>
      <c r="J274" s="5" t="s">
        <v>1664</v>
      </c>
      <c r="K274" s="3">
        <v>1.56</v>
      </c>
      <c r="L274" s="3">
        <v>0.39</v>
      </c>
      <c r="M274" s="3">
        <v>1.44</v>
      </c>
      <c r="N274" s="3">
        <v>1.6</v>
      </c>
      <c r="O274" s="3">
        <v>1</v>
      </c>
      <c r="P274" s="3">
        <v>120</v>
      </c>
      <c r="Q274" s="10">
        <f t="shared" ca="1" si="12"/>
        <v>42487</v>
      </c>
      <c r="R274" s="10">
        <f t="shared" ca="1" si="13"/>
        <v>42664</v>
      </c>
      <c r="S274" s="11">
        <f t="shared" ca="1" si="14"/>
        <v>0.50793650793650791</v>
      </c>
      <c r="T274" s="10"/>
    </row>
    <row r="275" spans="2:20" x14ac:dyDescent="0.2">
      <c r="B275" s="5" t="s">
        <v>1665</v>
      </c>
      <c r="C275" s="3">
        <v>29.62</v>
      </c>
      <c r="D275" s="3">
        <v>0</v>
      </c>
      <c r="E275" s="3">
        <v>24.45</v>
      </c>
      <c r="F275" s="3">
        <v>27</v>
      </c>
      <c r="G275" s="3">
        <v>1</v>
      </c>
      <c r="H275" s="3">
        <v>4</v>
      </c>
      <c r="I275" s="3">
        <v>120</v>
      </c>
      <c r="J275" s="5" t="s">
        <v>1666</v>
      </c>
      <c r="K275" s="3">
        <v>2.2000000000000002</v>
      </c>
      <c r="L275" s="3">
        <v>0.35</v>
      </c>
      <c r="M275" s="3">
        <v>1.95</v>
      </c>
      <c r="N275" s="3">
        <v>2.1</v>
      </c>
      <c r="O275" s="3">
        <v>21</v>
      </c>
      <c r="P275" s="3">
        <v>1006</v>
      </c>
      <c r="Q275" s="10">
        <f t="shared" ca="1" si="12"/>
        <v>42487</v>
      </c>
      <c r="R275" s="10">
        <f t="shared" ca="1" si="13"/>
        <v>42664</v>
      </c>
      <c r="S275" s="11">
        <f t="shared" ca="1" si="14"/>
        <v>0.50793650793650791</v>
      </c>
      <c r="T275" s="10"/>
    </row>
    <row r="276" spans="2:20" x14ac:dyDescent="0.2">
      <c r="B276" s="5" t="s">
        <v>1667</v>
      </c>
      <c r="C276" s="3">
        <v>19.45</v>
      </c>
      <c r="D276" s="3">
        <v>0</v>
      </c>
      <c r="E276" s="3">
        <v>22.8</v>
      </c>
      <c r="F276" s="3">
        <v>25.65</v>
      </c>
      <c r="G276" s="3">
        <v>4</v>
      </c>
      <c r="H276" s="3">
        <v>10</v>
      </c>
      <c r="I276" s="3">
        <v>125</v>
      </c>
      <c r="J276" s="5" t="s">
        <v>1668</v>
      </c>
      <c r="K276" s="3">
        <v>2.79</v>
      </c>
      <c r="L276" s="3">
        <v>0.27</v>
      </c>
      <c r="M276" s="3">
        <v>2.64</v>
      </c>
      <c r="N276" s="3">
        <v>2.83</v>
      </c>
      <c r="O276" s="3">
        <v>5</v>
      </c>
      <c r="P276" s="3">
        <v>354</v>
      </c>
      <c r="Q276" s="10">
        <f t="shared" ca="1" si="12"/>
        <v>42487</v>
      </c>
      <c r="R276" s="10">
        <f t="shared" ca="1" si="13"/>
        <v>42664</v>
      </c>
      <c r="S276" s="11">
        <f t="shared" ca="1" si="14"/>
        <v>0.50793650793650791</v>
      </c>
      <c r="T276" s="10"/>
    </row>
    <row r="277" spans="2:20" x14ac:dyDescent="0.2">
      <c r="B277" s="5" t="s">
        <v>1669</v>
      </c>
      <c r="C277" s="3">
        <v>19.12</v>
      </c>
      <c r="D277" s="3">
        <v>0</v>
      </c>
      <c r="E277" s="3">
        <v>16.45</v>
      </c>
      <c r="F277" s="3">
        <v>18.3</v>
      </c>
      <c r="G277" s="3">
        <v>7</v>
      </c>
      <c r="H277" s="3">
        <v>129</v>
      </c>
      <c r="I277" s="3">
        <v>130</v>
      </c>
      <c r="J277" s="5" t="s">
        <v>1670</v>
      </c>
      <c r="K277" s="3">
        <v>3.77</v>
      </c>
      <c r="L277" s="3">
        <v>0.72</v>
      </c>
      <c r="M277" s="3">
        <v>3.65</v>
      </c>
      <c r="N277" s="3">
        <v>3.85</v>
      </c>
      <c r="O277" s="3">
        <v>2</v>
      </c>
      <c r="P277" s="3">
        <v>640</v>
      </c>
      <c r="Q277" s="10">
        <f t="shared" ca="1" si="12"/>
        <v>42487</v>
      </c>
      <c r="R277" s="10">
        <f t="shared" ca="1" si="13"/>
        <v>42664</v>
      </c>
      <c r="S277" s="11">
        <f t="shared" ca="1" si="14"/>
        <v>0.50793650793650791</v>
      </c>
      <c r="T277" s="10"/>
    </row>
    <row r="278" spans="2:20" x14ac:dyDescent="0.2">
      <c r="B278" s="5" t="s">
        <v>1671</v>
      </c>
      <c r="C278" s="3">
        <v>12.94</v>
      </c>
      <c r="D278" s="3">
        <v>-3.26</v>
      </c>
      <c r="E278" s="3">
        <v>13.55</v>
      </c>
      <c r="F278" s="3">
        <v>14.4</v>
      </c>
      <c r="G278" s="3">
        <v>21</v>
      </c>
      <c r="H278" s="3">
        <v>392</v>
      </c>
      <c r="I278" s="3">
        <v>135</v>
      </c>
      <c r="J278" s="5" t="s">
        <v>1672</v>
      </c>
      <c r="K278" s="3">
        <v>5</v>
      </c>
      <c r="L278" s="3">
        <v>0.25</v>
      </c>
      <c r="M278" s="3">
        <v>4.95</v>
      </c>
      <c r="N278" s="3">
        <v>5.15</v>
      </c>
      <c r="O278" s="3">
        <v>1</v>
      </c>
      <c r="P278" s="3">
        <v>784</v>
      </c>
      <c r="Q278" s="10">
        <f t="shared" ca="1" si="12"/>
        <v>42487</v>
      </c>
      <c r="R278" s="10">
        <f t="shared" ca="1" si="13"/>
        <v>42664</v>
      </c>
      <c r="S278" s="11">
        <f t="shared" ca="1" si="14"/>
        <v>0.50793650793650791</v>
      </c>
      <c r="T278" s="10"/>
    </row>
    <row r="279" spans="2:20" x14ac:dyDescent="0.2">
      <c r="B279" s="5" t="s">
        <v>1673</v>
      </c>
      <c r="C279" s="3">
        <v>9.91</v>
      </c>
      <c r="D279" s="3">
        <v>-1.59</v>
      </c>
      <c r="E279" s="3">
        <v>10.5</v>
      </c>
      <c r="F279" s="3">
        <v>10.8</v>
      </c>
      <c r="G279" s="3">
        <v>3</v>
      </c>
      <c r="H279" s="3">
        <v>667</v>
      </c>
      <c r="I279" s="3">
        <v>140</v>
      </c>
      <c r="J279" s="5" t="s">
        <v>1674</v>
      </c>
      <c r="K279" s="3">
        <v>6.95</v>
      </c>
      <c r="L279" s="3">
        <v>1.4</v>
      </c>
      <c r="M279" s="3">
        <v>6.7</v>
      </c>
      <c r="N279" s="3">
        <v>6.9</v>
      </c>
      <c r="O279" s="3">
        <v>2</v>
      </c>
      <c r="P279" s="3">
        <v>934</v>
      </c>
      <c r="Q279" s="10">
        <f t="shared" ca="1" si="12"/>
        <v>42487</v>
      </c>
      <c r="R279" s="10">
        <f t="shared" ca="1" si="13"/>
        <v>42664</v>
      </c>
      <c r="S279" s="11">
        <f t="shared" ca="1" si="14"/>
        <v>0.50793650793650791</v>
      </c>
      <c r="T279" s="10"/>
    </row>
    <row r="280" spans="2:20" x14ac:dyDescent="0.2">
      <c r="B280" s="5" t="s">
        <v>1675</v>
      </c>
      <c r="C280" s="3">
        <v>7.7</v>
      </c>
      <c r="D280" s="3">
        <v>-0.7</v>
      </c>
      <c r="E280" s="3">
        <v>7.65</v>
      </c>
      <c r="F280" s="3">
        <v>7.9</v>
      </c>
      <c r="G280" s="3">
        <v>3</v>
      </c>
      <c r="H280" s="3">
        <v>894</v>
      </c>
      <c r="I280" s="3">
        <v>145</v>
      </c>
      <c r="J280" s="5" t="s">
        <v>1676</v>
      </c>
      <c r="K280" s="3">
        <v>9.15</v>
      </c>
      <c r="L280" s="3">
        <v>0.85</v>
      </c>
      <c r="M280" s="3">
        <v>8.9</v>
      </c>
      <c r="N280" s="3">
        <v>9.15</v>
      </c>
      <c r="O280" s="3">
        <v>22</v>
      </c>
      <c r="P280" s="3">
        <v>705</v>
      </c>
      <c r="Q280" s="10">
        <f t="shared" ca="1" si="12"/>
        <v>42487</v>
      </c>
      <c r="R280" s="10">
        <f t="shared" ca="1" si="13"/>
        <v>42664</v>
      </c>
      <c r="S280" s="11">
        <f t="shared" ca="1" si="14"/>
        <v>0.50793650793650791</v>
      </c>
      <c r="T280" s="10"/>
    </row>
    <row r="281" spans="2:20" x14ac:dyDescent="0.2">
      <c r="B281" s="5" t="s">
        <v>1677</v>
      </c>
      <c r="C281" s="3">
        <v>4.75</v>
      </c>
      <c r="D281" s="3">
        <v>-1.25</v>
      </c>
      <c r="E281" s="3">
        <v>5.35</v>
      </c>
      <c r="F281" s="3">
        <v>5.55</v>
      </c>
      <c r="G281" s="3">
        <v>22</v>
      </c>
      <c r="H281" s="3">
        <v>989</v>
      </c>
      <c r="I281" s="3">
        <v>150</v>
      </c>
      <c r="J281" s="5" t="s">
        <v>1678</v>
      </c>
      <c r="K281" s="3">
        <v>12.35</v>
      </c>
      <c r="L281" s="3">
        <v>2.6</v>
      </c>
      <c r="M281" s="3">
        <v>11.55</v>
      </c>
      <c r="N281" s="3">
        <v>11.85</v>
      </c>
      <c r="O281" s="3">
        <v>1</v>
      </c>
      <c r="P281" s="3">
        <v>454</v>
      </c>
      <c r="Q281" s="10">
        <f t="shared" ca="1" si="12"/>
        <v>42487</v>
      </c>
      <c r="R281" s="10">
        <f t="shared" ca="1" si="13"/>
        <v>42664</v>
      </c>
      <c r="S281" s="11">
        <f t="shared" ca="1" si="14"/>
        <v>0.50793650793650791</v>
      </c>
      <c r="T281" s="10"/>
    </row>
    <row r="282" spans="2:20" x14ac:dyDescent="0.2">
      <c r="B282" s="5" t="s">
        <v>1679</v>
      </c>
      <c r="C282" s="3">
        <v>3.49</v>
      </c>
      <c r="D282" s="3">
        <v>-0.36</v>
      </c>
      <c r="E282" s="3">
        <v>3.55</v>
      </c>
      <c r="F282" s="3">
        <v>3.75</v>
      </c>
      <c r="G282" s="3">
        <v>71</v>
      </c>
      <c r="H282" s="3">
        <v>1009</v>
      </c>
      <c r="I282" s="3">
        <v>155</v>
      </c>
      <c r="J282" s="5" t="s">
        <v>1680</v>
      </c>
      <c r="K282" s="3">
        <v>15.4</v>
      </c>
      <c r="L282" s="3">
        <v>3.75</v>
      </c>
      <c r="M282" s="3">
        <v>14.8</v>
      </c>
      <c r="N282" s="3">
        <v>15.1</v>
      </c>
      <c r="O282" s="3">
        <v>1</v>
      </c>
      <c r="P282" s="3">
        <v>570</v>
      </c>
      <c r="Q282" s="10">
        <f t="shared" ca="1" si="12"/>
        <v>42487</v>
      </c>
      <c r="R282" s="10">
        <f t="shared" ca="1" si="13"/>
        <v>42664</v>
      </c>
      <c r="S282" s="11">
        <f t="shared" ca="1" si="14"/>
        <v>0.50793650793650791</v>
      </c>
      <c r="T282" s="10"/>
    </row>
    <row r="283" spans="2:20" x14ac:dyDescent="0.2">
      <c r="B283" s="5" t="s">
        <v>1681</v>
      </c>
      <c r="C283" s="3">
        <v>2.37</v>
      </c>
      <c r="D283" s="3">
        <v>-0.19</v>
      </c>
      <c r="E283" s="3">
        <v>2.2599999999999998</v>
      </c>
      <c r="F283" s="3">
        <v>2.41</v>
      </c>
      <c r="G283" s="3">
        <v>2</v>
      </c>
      <c r="H283" s="3">
        <v>1201</v>
      </c>
      <c r="I283" s="3">
        <v>160</v>
      </c>
      <c r="J283" s="5" t="s">
        <v>1682</v>
      </c>
      <c r="K283" s="3">
        <v>18.5</v>
      </c>
      <c r="L283" s="3">
        <v>3.55</v>
      </c>
      <c r="M283" s="3">
        <v>18.25</v>
      </c>
      <c r="N283" s="3">
        <v>18.8</v>
      </c>
      <c r="O283" s="3">
        <v>5</v>
      </c>
      <c r="P283" s="3">
        <v>122</v>
      </c>
      <c r="Q283" s="10">
        <f t="shared" ca="1" si="12"/>
        <v>42487</v>
      </c>
      <c r="R283" s="10">
        <f t="shared" ca="1" si="13"/>
        <v>42664</v>
      </c>
      <c r="S283" s="11">
        <f t="shared" ca="1" si="14"/>
        <v>0.50793650793650791</v>
      </c>
      <c r="T283" s="10"/>
    </row>
    <row r="284" spans="2:20" x14ac:dyDescent="0.2">
      <c r="B284" s="5" t="s">
        <v>1683</v>
      </c>
      <c r="C284" s="3">
        <v>1.36</v>
      </c>
      <c r="D284" s="3">
        <v>-0.24</v>
      </c>
      <c r="E284" s="3">
        <v>1.37</v>
      </c>
      <c r="F284" s="3">
        <v>1.51</v>
      </c>
      <c r="G284" s="3">
        <v>26</v>
      </c>
      <c r="H284" s="3">
        <v>10354</v>
      </c>
      <c r="I284" s="3">
        <v>165</v>
      </c>
      <c r="J284" s="5" t="s">
        <v>1684</v>
      </c>
      <c r="K284" s="3">
        <v>20.5</v>
      </c>
      <c r="L284" s="3">
        <v>0</v>
      </c>
      <c r="M284" s="3">
        <v>22.1</v>
      </c>
      <c r="N284" s="3">
        <v>24.45</v>
      </c>
      <c r="O284" s="3">
        <v>10</v>
      </c>
      <c r="P284" s="3">
        <v>123</v>
      </c>
      <c r="Q284" s="10">
        <f t="shared" ca="1" si="12"/>
        <v>42487</v>
      </c>
      <c r="R284" s="10">
        <f t="shared" ca="1" si="13"/>
        <v>42664</v>
      </c>
      <c r="S284" s="11">
        <f t="shared" ca="1" si="14"/>
        <v>0.50793650793650791</v>
      </c>
      <c r="T284" s="10"/>
    </row>
    <row r="285" spans="2:20" x14ac:dyDescent="0.2">
      <c r="B285" s="5" t="s">
        <v>1685</v>
      </c>
      <c r="C285" s="3">
        <v>0.76</v>
      </c>
      <c r="D285" s="3">
        <v>-0.27</v>
      </c>
      <c r="E285" s="3">
        <v>0.8</v>
      </c>
      <c r="F285" s="3">
        <v>0.94</v>
      </c>
      <c r="G285" s="3">
        <v>8</v>
      </c>
      <c r="H285" s="3">
        <v>549</v>
      </c>
      <c r="I285" s="3">
        <v>170</v>
      </c>
      <c r="J285" s="5" t="s">
        <v>1686</v>
      </c>
      <c r="K285" s="3">
        <v>21.84</v>
      </c>
      <c r="L285" s="3">
        <v>0</v>
      </c>
      <c r="M285" s="3">
        <v>24.05</v>
      </c>
      <c r="N285" s="3">
        <v>26.5</v>
      </c>
      <c r="O285" s="3">
        <v>0</v>
      </c>
      <c r="P285" s="3">
        <v>2</v>
      </c>
      <c r="Q285" s="10">
        <f t="shared" ca="1" si="12"/>
        <v>42487</v>
      </c>
      <c r="R285" s="10">
        <f t="shared" ca="1" si="13"/>
        <v>42664</v>
      </c>
      <c r="S285" s="11">
        <f t="shared" ca="1" si="14"/>
        <v>0.50793650793650791</v>
      </c>
      <c r="T285" s="10"/>
    </row>
    <row r="286" spans="2:20" x14ac:dyDescent="0.2">
      <c r="B286" s="5" t="s">
        <v>1687</v>
      </c>
      <c r="C286" s="3">
        <v>0.75</v>
      </c>
      <c r="D286" s="3">
        <v>0</v>
      </c>
      <c r="E286" s="3">
        <v>0.45</v>
      </c>
      <c r="F286" s="3">
        <v>0.56000000000000005</v>
      </c>
      <c r="G286" s="3">
        <v>2</v>
      </c>
      <c r="H286" s="3">
        <v>250</v>
      </c>
      <c r="I286" s="3">
        <v>175</v>
      </c>
      <c r="J286" s="5" t="s">
        <v>1688</v>
      </c>
      <c r="K286" s="3">
        <v>29.5</v>
      </c>
      <c r="L286" s="3">
        <v>0</v>
      </c>
      <c r="M286" s="3">
        <v>25.65</v>
      </c>
      <c r="N286" s="3">
        <v>28.25</v>
      </c>
      <c r="O286" s="3">
        <v>10</v>
      </c>
      <c r="P286" s="3">
        <v>38</v>
      </c>
      <c r="Q286" s="10">
        <f t="shared" ca="1" si="12"/>
        <v>42487</v>
      </c>
      <c r="R286" s="10">
        <f t="shared" ca="1" si="13"/>
        <v>42664</v>
      </c>
      <c r="S286" s="11">
        <f t="shared" ca="1" si="14"/>
        <v>0.50793650793650791</v>
      </c>
      <c r="T286" s="10"/>
    </row>
    <row r="287" spans="2:20" x14ac:dyDescent="0.2">
      <c r="B287" s="5" t="s">
        <v>1689</v>
      </c>
      <c r="C287" s="3">
        <v>0.4</v>
      </c>
      <c r="D287" s="3">
        <v>0</v>
      </c>
      <c r="E287" s="3">
        <v>0.24</v>
      </c>
      <c r="F287" s="3">
        <v>0.38</v>
      </c>
      <c r="G287" s="3">
        <v>1</v>
      </c>
      <c r="H287" s="3">
        <v>163</v>
      </c>
      <c r="I287" s="3">
        <v>180</v>
      </c>
      <c r="J287" s="5" t="s">
        <v>1690</v>
      </c>
      <c r="K287" s="3">
        <v>0</v>
      </c>
      <c r="L287" s="3">
        <v>0</v>
      </c>
      <c r="M287" s="3">
        <v>40.75</v>
      </c>
      <c r="N287" s="3">
        <v>44.65</v>
      </c>
      <c r="O287" s="3">
        <v>0</v>
      </c>
      <c r="P287" s="3">
        <v>0</v>
      </c>
      <c r="Q287" s="10">
        <f t="shared" ca="1" si="12"/>
        <v>42487</v>
      </c>
      <c r="R287" s="10">
        <f t="shared" ca="1" si="13"/>
        <v>42664</v>
      </c>
      <c r="S287" s="11">
        <f t="shared" ca="1" si="14"/>
        <v>0.50793650793650791</v>
      </c>
      <c r="T287" s="10"/>
    </row>
    <row r="288" spans="2:20" x14ac:dyDescent="0.2">
      <c r="B288" s="5" t="s">
        <v>1691</v>
      </c>
      <c r="C288" s="3">
        <v>0.27</v>
      </c>
      <c r="D288" s="3">
        <v>0</v>
      </c>
      <c r="E288" s="3">
        <v>0.12</v>
      </c>
      <c r="F288" s="3">
        <v>0.25</v>
      </c>
      <c r="G288" s="3">
        <v>10</v>
      </c>
      <c r="H288" s="3">
        <v>54</v>
      </c>
      <c r="I288" s="3">
        <v>185</v>
      </c>
      <c r="J288" s="5" t="s">
        <v>1692</v>
      </c>
      <c r="K288" s="3">
        <v>0</v>
      </c>
      <c r="L288" s="3">
        <v>0</v>
      </c>
      <c r="M288" s="3">
        <v>45.55</v>
      </c>
      <c r="N288" s="3">
        <v>49.45</v>
      </c>
      <c r="O288" s="3">
        <v>0</v>
      </c>
      <c r="P288" s="3">
        <v>0</v>
      </c>
      <c r="Q288" s="10">
        <f t="shared" ca="1" si="12"/>
        <v>42487</v>
      </c>
      <c r="R288" s="10">
        <f t="shared" ca="1" si="13"/>
        <v>42664</v>
      </c>
      <c r="S288" s="11">
        <f t="shared" ca="1" si="14"/>
        <v>0.50793650793650791</v>
      </c>
      <c r="T288" s="10"/>
    </row>
    <row r="289" spans="2:20" x14ac:dyDescent="0.2">
      <c r="B289" s="5" t="s">
        <v>1693</v>
      </c>
      <c r="C289" s="3">
        <v>0.3</v>
      </c>
      <c r="D289" s="3">
        <v>0</v>
      </c>
      <c r="E289" s="3">
        <v>0.2</v>
      </c>
      <c r="F289" s="3">
        <v>0.31</v>
      </c>
      <c r="G289" s="3">
        <v>10</v>
      </c>
      <c r="H289" s="3">
        <v>0</v>
      </c>
      <c r="I289" s="3">
        <v>190</v>
      </c>
      <c r="J289" s="5" t="s">
        <v>1694</v>
      </c>
      <c r="K289" s="3">
        <v>0</v>
      </c>
      <c r="L289" s="3">
        <v>0</v>
      </c>
      <c r="M289" s="3">
        <v>50.25</v>
      </c>
      <c r="N289" s="3">
        <v>54.3</v>
      </c>
      <c r="O289" s="3">
        <v>0</v>
      </c>
      <c r="P289" s="3">
        <v>0</v>
      </c>
      <c r="Q289" s="10">
        <f t="shared" ca="1" si="12"/>
        <v>42487</v>
      </c>
      <c r="R289" s="10">
        <f t="shared" ca="1" si="13"/>
        <v>42664</v>
      </c>
      <c r="S289" s="11">
        <f t="shared" ca="1" si="14"/>
        <v>0.50793650793650791</v>
      </c>
      <c r="T289" s="10"/>
    </row>
    <row r="290" spans="2:20" x14ac:dyDescent="0.2">
      <c r="B290" s="5" t="s">
        <v>1695</v>
      </c>
      <c r="C290" s="3">
        <v>0.08</v>
      </c>
      <c r="D290" s="3">
        <v>0</v>
      </c>
      <c r="E290" s="3">
        <v>0.03</v>
      </c>
      <c r="F290" s="3">
        <v>0.15</v>
      </c>
      <c r="G290" s="3">
        <v>100</v>
      </c>
      <c r="H290" s="3">
        <v>700</v>
      </c>
      <c r="I290" s="3">
        <v>195</v>
      </c>
      <c r="J290" s="5" t="s">
        <v>1696</v>
      </c>
      <c r="K290" s="3">
        <v>0</v>
      </c>
      <c r="L290" s="3">
        <v>0</v>
      </c>
      <c r="M290" s="3">
        <v>55.4</v>
      </c>
      <c r="N290" s="3">
        <v>59.45</v>
      </c>
      <c r="O290" s="3">
        <v>0</v>
      </c>
      <c r="P290" s="3">
        <v>0</v>
      </c>
      <c r="Q290" s="10">
        <f t="shared" ca="1" si="12"/>
        <v>42487</v>
      </c>
      <c r="R290" s="10">
        <f t="shared" ca="1" si="13"/>
        <v>42664</v>
      </c>
      <c r="S290" s="11">
        <f t="shared" ca="1" si="14"/>
        <v>0.50793650793650791</v>
      </c>
      <c r="T290" s="10"/>
    </row>
    <row r="291" spans="2:20" x14ac:dyDescent="0.2">
      <c r="B291" s="5" t="s">
        <v>1697</v>
      </c>
      <c r="C291" s="3">
        <v>0</v>
      </c>
      <c r="D291" s="3">
        <v>0</v>
      </c>
      <c r="E291" s="3">
        <v>0.03</v>
      </c>
      <c r="F291" s="3">
        <v>0.15</v>
      </c>
      <c r="G291" s="3">
        <v>0</v>
      </c>
      <c r="H291" s="3">
        <v>0</v>
      </c>
      <c r="I291" s="3">
        <v>200</v>
      </c>
      <c r="J291" s="5" t="s">
        <v>1698</v>
      </c>
      <c r="K291" s="3">
        <v>0</v>
      </c>
      <c r="L291" s="3">
        <v>0</v>
      </c>
      <c r="M291" s="3">
        <v>59.95</v>
      </c>
      <c r="N291" s="3">
        <v>64.400000000000006</v>
      </c>
      <c r="O291" s="3">
        <v>0</v>
      </c>
      <c r="P291" s="3">
        <v>0</v>
      </c>
      <c r="Q291" s="10">
        <f t="shared" ca="1" si="12"/>
        <v>42487</v>
      </c>
      <c r="R291" s="10">
        <f t="shared" ca="1" si="13"/>
        <v>42664</v>
      </c>
      <c r="S291" s="11">
        <f t="shared" ca="1" si="14"/>
        <v>0.50793650793650791</v>
      </c>
      <c r="T291" s="10"/>
    </row>
    <row r="292" spans="2:20" x14ac:dyDescent="0.2">
      <c r="B292" s="5" t="s">
        <v>1699</v>
      </c>
      <c r="C292" s="3">
        <v>74</v>
      </c>
      <c r="D292" s="3">
        <v>0</v>
      </c>
      <c r="E292" s="3">
        <v>85.7</v>
      </c>
      <c r="F292" s="3">
        <v>90.5</v>
      </c>
      <c r="G292" s="3">
        <v>0</v>
      </c>
      <c r="H292" s="3">
        <v>20</v>
      </c>
      <c r="I292" s="3">
        <v>60</v>
      </c>
      <c r="J292" s="5" t="s">
        <v>1700</v>
      </c>
      <c r="K292" s="3">
        <v>0.27</v>
      </c>
      <c r="L292" s="3">
        <v>0</v>
      </c>
      <c r="M292" s="3">
        <v>0.13</v>
      </c>
      <c r="N292" s="3">
        <v>0.26</v>
      </c>
      <c r="O292" s="3">
        <v>4</v>
      </c>
      <c r="P292" s="3">
        <v>245</v>
      </c>
      <c r="Q292" s="10">
        <f t="shared" ca="1" si="12"/>
        <v>42487</v>
      </c>
      <c r="R292" s="10">
        <f t="shared" ca="1" si="13"/>
        <v>42755</v>
      </c>
      <c r="S292" s="11">
        <f t="shared" ca="1" si="14"/>
        <v>0.76587301587301593</v>
      </c>
      <c r="T292" s="10"/>
    </row>
    <row r="293" spans="2:20" x14ac:dyDescent="0.2">
      <c r="B293" s="5" t="s">
        <v>1701</v>
      </c>
      <c r="C293" s="3">
        <v>0</v>
      </c>
      <c r="D293" s="3">
        <v>0</v>
      </c>
      <c r="E293" s="3">
        <v>72.5</v>
      </c>
      <c r="F293" s="3">
        <v>77.3</v>
      </c>
      <c r="G293" s="3">
        <v>0</v>
      </c>
      <c r="H293" s="3">
        <v>0</v>
      </c>
      <c r="I293" s="3">
        <v>65</v>
      </c>
      <c r="J293" s="5" t="s">
        <v>1702</v>
      </c>
      <c r="K293" s="3">
        <v>0.32</v>
      </c>
      <c r="L293" s="3">
        <v>-0.14000000000000001</v>
      </c>
      <c r="M293" s="3">
        <v>0.27</v>
      </c>
      <c r="N293" s="3">
        <v>0.33</v>
      </c>
      <c r="O293" s="3">
        <v>20</v>
      </c>
      <c r="P293" s="3">
        <v>216</v>
      </c>
      <c r="Q293" s="10">
        <f t="shared" ca="1" si="12"/>
        <v>42487</v>
      </c>
      <c r="R293" s="10">
        <f t="shared" ca="1" si="13"/>
        <v>42755</v>
      </c>
      <c r="S293" s="11">
        <f t="shared" ca="1" si="14"/>
        <v>0.76587301587301593</v>
      </c>
      <c r="T293" s="10"/>
    </row>
    <row r="294" spans="2:20" x14ac:dyDescent="0.2">
      <c r="B294" s="5" t="s">
        <v>1703</v>
      </c>
      <c r="C294" s="3">
        <v>0</v>
      </c>
      <c r="D294" s="3">
        <v>0</v>
      </c>
      <c r="E294" s="3">
        <v>67.599999999999994</v>
      </c>
      <c r="F294" s="3">
        <v>72.400000000000006</v>
      </c>
      <c r="G294" s="3">
        <v>0</v>
      </c>
      <c r="H294" s="3">
        <v>0</v>
      </c>
      <c r="I294" s="3">
        <v>70</v>
      </c>
      <c r="J294" s="5" t="s">
        <v>1704</v>
      </c>
      <c r="K294" s="3">
        <v>0.3</v>
      </c>
      <c r="L294" s="3">
        <v>0</v>
      </c>
      <c r="M294" s="3">
        <v>0.23</v>
      </c>
      <c r="N294" s="3">
        <v>0.34</v>
      </c>
      <c r="O294" s="3">
        <v>5</v>
      </c>
      <c r="P294" s="3">
        <v>396</v>
      </c>
      <c r="Q294" s="10">
        <f t="shared" ca="1" si="12"/>
        <v>42487</v>
      </c>
      <c r="R294" s="10">
        <f t="shared" ca="1" si="13"/>
        <v>42755</v>
      </c>
      <c r="S294" s="11">
        <f t="shared" ca="1" si="14"/>
        <v>0.76587301587301593</v>
      </c>
      <c r="T294" s="10"/>
    </row>
    <row r="295" spans="2:20" x14ac:dyDescent="0.2">
      <c r="B295" s="5" t="s">
        <v>1705</v>
      </c>
      <c r="C295" s="3">
        <v>0</v>
      </c>
      <c r="D295" s="3">
        <v>0</v>
      </c>
      <c r="E295" s="3">
        <v>62.65</v>
      </c>
      <c r="F295" s="3">
        <v>67.400000000000006</v>
      </c>
      <c r="G295" s="3">
        <v>0</v>
      </c>
      <c r="H295" s="3">
        <v>0</v>
      </c>
      <c r="I295" s="3">
        <v>75</v>
      </c>
      <c r="J295" s="5" t="s">
        <v>1706</v>
      </c>
      <c r="K295" s="3">
        <v>0.35</v>
      </c>
      <c r="L295" s="3">
        <v>0.02</v>
      </c>
      <c r="M295" s="3">
        <v>0.32</v>
      </c>
      <c r="N295" s="3">
        <v>0.37</v>
      </c>
      <c r="O295" s="3">
        <v>10</v>
      </c>
      <c r="P295" s="3">
        <v>2257</v>
      </c>
      <c r="Q295" s="10">
        <f t="shared" ca="1" si="12"/>
        <v>42487</v>
      </c>
      <c r="R295" s="10">
        <f t="shared" ca="1" si="13"/>
        <v>42755</v>
      </c>
      <c r="S295" s="11">
        <f t="shared" ca="1" si="14"/>
        <v>0.76587301587301593</v>
      </c>
      <c r="T295" s="10"/>
    </row>
    <row r="296" spans="2:20" x14ac:dyDescent="0.2">
      <c r="B296" s="5" t="s">
        <v>1707</v>
      </c>
      <c r="C296" s="3">
        <v>70.05</v>
      </c>
      <c r="D296" s="3">
        <v>0</v>
      </c>
      <c r="E296" s="3">
        <v>69.900000000000006</v>
      </c>
      <c r="F296" s="3">
        <v>73.849999999999994</v>
      </c>
      <c r="G296" s="3">
        <v>7</v>
      </c>
      <c r="H296" s="3">
        <v>30</v>
      </c>
      <c r="I296" s="3">
        <v>80</v>
      </c>
      <c r="J296" s="5" t="s">
        <v>1708</v>
      </c>
      <c r="K296" s="3">
        <v>0.57999999999999996</v>
      </c>
      <c r="L296" s="3">
        <v>0.1</v>
      </c>
      <c r="M296" s="3">
        <v>0.57999999999999996</v>
      </c>
      <c r="N296" s="3">
        <v>0.6</v>
      </c>
      <c r="O296" s="3">
        <v>73</v>
      </c>
      <c r="P296" s="3">
        <v>2035</v>
      </c>
      <c r="Q296" s="10">
        <f t="shared" ca="1" si="12"/>
        <v>42487</v>
      </c>
      <c r="R296" s="10">
        <f t="shared" ca="1" si="13"/>
        <v>42755</v>
      </c>
      <c r="S296" s="11">
        <f t="shared" ca="1" si="14"/>
        <v>0.76587301587301593</v>
      </c>
      <c r="T296" s="10"/>
    </row>
    <row r="297" spans="2:20" x14ac:dyDescent="0.2">
      <c r="B297" s="5" t="s">
        <v>1709</v>
      </c>
      <c r="C297" s="3">
        <v>47.78</v>
      </c>
      <c r="D297" s="3">
        <v>0</v>
      </c>
      <c r="E297" s="3">
        <v>61</v>
      </c>
      <c r="F297" s="3">
        <v>65.900000000000006</v>
      </c>
      <c r="G297" s="3">
        <v>0</v>
      </c>
      <c r="H297" s="3">
        <v>12</v>
      </c>
      <c r="I297" s="3">
        <v>85</v>
      </c>
      <c r="J297" s="5" t="s">
        <v>1710</v>
      </c>
      <c r="K297" s="3">
        <v>0.71</v>
      </c>
      <c r="L297" s="3">
        <v>0.16</v>
      </c>
      <c r="M297" s="3">
        <v>0.67</v>
      </c>
      <c r="N297" s="3">
        <v>0.77</v>
      </c>
      <c r="O297" s="3">
        <v>5</v>
      </c>
      <c r="P297" s="3">
        <v>1898</v>
      </c>
      <c r="Q297" s="10">
        <f t="shared" ca="1" si="12"/>
        <v>42487</v>
      </c>
      <c r="R297" s="10">
        <f t="shared" ca="1" si="13"/>
        <v>42755</v>
      </c>
      <c r="S297" s="11">
        <f t="shared" ca="1" si="14"/>
        <v>0.76587301587301593</v>
      </c>
      <c r="T297" s="10"/>
    </row>
    <row r="298" spans="2:20" x14ac:dyDescent="0.2">
      <c r="B298" s="5" t="s">
        <v>1711</v>
      </c>
      <c r="C298" s="3">
        <v>45.16</v>
      </c>
      <c r="D298" s="3">
        <v>0</v>
      </c>
      <c r="E298" s="3">
        <v>56.3</v>
      </c>
      <c r="F298" s="3">
        <v>60.95</v>
      </c>
      <c r="G298" s="3">
        <v>0</v>
      </c>
      <c r="H298" s="3">
        <v>5</v>
      </c>
      <c r="I298" s="3">
        <v>90</v>
      </c>
      <c r="J298" s="5" t="s">
        <v>1712</v>
      </c>
      <c r="K298" s="3">
        <v>0.72</v>
      </c>
      <c r="L298" s="3">
        <v>0</v>
      </c>
      <c r="M298" s="3">
        <v>0.87</v>
      </c>
      <c r="N298" s="3">
        <v>0.96</v>
      </c>
      <c r="O298" s="3">
        <v>20</v>
      </c>
      <c r="P298" s="3">
        <v>1748</v>
      </c>
      <c r="Q298" s="10">
        <f t="shared" ca="1" si="12"/>
        <v>42487</v>
      </c>
      <c r="R298" s="10">
        <f t="shared" ca="1" si="13"/>
        <v>42755</v>
      </c>
      <c r="S298" s="11">
        <f t="shared" ca="1" si="14"/>
        <v>0.76587301587301593</v>
      </c>
      <c r="T298" s="10"/>
    </row>
    <row r="299" spans="2:20" x14ac:dyDescent="0.2">
      <c r="B299" s="5" t="s">
        <v>1713</v>
      </c>
      <c r="C299" s="3">
        <v>28.34</v>
      </c>
      <c r="D299" s="3">
        <v>0</v>
      </c>
      <c r="E299" s="3">
        <v>51.15</v>
      </c>
      <c r="F299" s="3">
        <v>56</v>
      </c>
      <c r="G299" s="3">
        <v>0</v>
      </c>
      <c r="H299" s="3">
        <v>24</v>
      </c>
      <c r="I299" s="3">
        <v>95</v>
      </c>
      <c r="J299" s="5" t="s">
        <v>1714</v>
      </c>
      <c r="K299" s="3">
        <v>1.02</v>
      </c>
      <c r="L299" s="3">
        <v>0</v>
      </c>
      <c r="M299" s="3">
        <v>1.08</v>
      </c>
      <c r="N299" s="3">
        <v>1.2</v>
      </c>
      <c r="O299" s="3">
        <v>11</v>
      </c>
      <c r="P299" s="3">
        <v>2015</v>
      </c>
      <c r="Q299" s="10">
        <f t="shared" ca="1" si="12"/>
        <v>42487</v>
      </c>
      <c r="R299" s="10">
        <f t="shared" ca="1" si="13"/>
        <v>42755</v>
      </c>
      <c r="S299" s="11">
        <f t="shared" ca="1" si="14"/>
        <v>0.76587301587301593</v>
      </c>
      <c r="T299" s="10"/>
    </row>
    <row r="300" spans="2:20" x14ac:dyDescent="0.2">
      <c r="B300" s="5" t="s">
        <v>1715</v>
      </c>
      <c r="C300" s="3">
        <v>45.5</v>
      </c>
      <c r="D300" s="3">
        <v>-3.4</v>
      </c>
      <c r="E300" s="3">
        <v>43.9</v>
      </c>
      <c r="F300" s="3">
        <v>46.5</v>
      </c>
      <c r="G300" s="3">
        <v>10</v>
      </c>
      <c r="H300" s="3">
        <v>740</v>
      </c>
      <c r="I300" s="3">
        <v>100</v>
      </c>
      <c r="J300" s="5" t="s">
        <v>1716</v>
      </c>
      <c r="K300" s="3">
        <v>1.24</v>
      </c>
      <c r="L300" s="3">
        <v>0</v>
      </c>
      <c r="M300" s="3">
        <v>1.35</v>
      </c>
      <c r="N300" s="3">
        <v>1.48</v>
      </c>
      <c r="O300" s="3">
        <v>30</v>
      </c>
      <c r="P300" s="3">
        <v>4220</v>
      </c>
      <c r="Q300" s="10">
        <f t="shared" ca="1" si="12"/>
        <v>42487</v>
      </c>
      <c r="R300" s="10">
        <f t="shared" ca="1" si="13"/>
        <v>42755</v>
      </c>
      <c r="S300" s="11">
        <f t="shared" ca="1" si="14"/>
        <v>0.76587301587301593</v>
      </c>
      <c r="T300" s="10"/>
    </row>
    <row r="301" spans="2:20" x14ac:dyDescent="0.2">
      <c r="B301" s="5" t="s">
        <v>1717</v>
      </c>
      <c r="C301" s="3">
        <v>39</v>
      </c>
      <c r="D301" s="3">
        <v>0</v>
      </c>
      <c r="E301" s="3">
        <v>41.5</v>
      </c>
      <c r="F301" s="3">
        <v>45</v>
      </c>
      <c r="G301" s="3">
        <v>1</v>
      </c>
      <c r="H301" s="3">
        <v>147</v>
      </c>
      <c r="I301" s="3">
        <v>105</v>
      </c>
      <c r="J301" s="5" t="s">
        <v>1718</v>
      </c>
      <c r="K301" s="3">
        <v>1.2</v>
      </c>
      <c r="L301" s="3">
        <v>0</v>
      </c>
      <c r="M301" s="3">
        <v>1.74</v>
      </c>
      <c r="N301" s="3">
        <v>1.84</v>
      </c>
      <c r="O301" s="3">
        <v>65</v>
      </c>
      <c r="P301" s="3">
        <v>2602</v>
      </c>
      <c r="Q301" s="10">
        <f t="shared" ca="1" si="12"/>
        <v>42487</v>
      </c>
      <c r="R301" s="10">
        <f t="shared" ca="1" si="13"/>
        <v>42755</v>
      </c>
      <c r="S301" s="11">
        <f t="shared" ca="1" si="14"/>
        <v>0.76587301587301593</v>
      </c>
      <c r="T301" s="10"/>
    </row>
    <row r="302" spans="2:20" x14ac:dyDescent="0.2">
      <c r="B302" s="5" t="s">
        <v>1719</v>
      </c>
      <c r="C302" s="3">
        <v>39.25</v>
      </c>
      <c r="D302" s="3">
        <v>0</v>
      </c>
      <c r="E302" s="3">
        <v>36.25</v>
      </c>
      <c r="F302" s="3">
        <v>40.5</v>
      </c>
      <c r="G302" s="3">
        <v>39</v>
      </c>
      <c r="H302" s="3">
        <v>375</v>
      </c>
      <c r="I302" s="3">
        <v>110</v>
      </c>
      <c r="J302" s="5" t="s">
        <v>1720</v>
      </c>
      <c r="K302" s="3">
        <v>2.39</v>
      </c>
      <c r="L302" s="3">
        <v>0.55000000000000004</v>
      </c>
      <c r="M302" s="3">
        <v>2.17</v>
      </c>
      <c r="N302" s="3">
        <v>2.31</v>
      </c>
      <c r="O302" s="3">
        <v>1</v>
      </c>
      <c r="P302" s="3">
        <v>3769</v>
      </c>
      <c r="Q302" s="10">
        <f t="shared" ca="1" si="12"/>
        <v>42487</v>
      </c>
      <c r="R302" s="10">
        <f t="shared" ca="1" si="13"/>
        <v>42755</v>
      </c>
      <c r="S302" s="11">
        <f t="shared" ca="1" si="14"/>
        <v>0.76587301587301593</v>
      </c>
      <c r="T302" s="10"/>
    </row>
    <row r="303" spans="2:20" x14ac:dyDescent="0.2">
      <c r="B303" s="5" t="s">
        <v>1721</v>
      </c>
      <c r="C303" s="3">
        <v>33.450000000000003</v>
      </c>
      <c r="D303" s="3">
        <v>0</v>
      </c>
      <c r="E303" s="3">
        <v>31.85</v>
      </c>
      <c r="F303" s="3">
        <v>35.299999999999997</v>
      </c>
      <c r="G303" s="3">
        <v>2</v>
      </c>
      <c r="H303" s="3">
        <v>560</v>
      </c>
      <c r="I303" s="3">
        <v>115</v>
      </c>
      <c r="J303" s="5" t="s">
        <v>1722</v>
      </c>
      <c r="K303" s="3">
        <v>3</v>
      </c>
      <c r="L303" s="3">
        <v>0.36</v>
      </c>
      <c r="M303" s="3">
        <v>2.72</v>
      </c>
      <c r="N303" s="3">
        <v>2.89</v>
      </c>
      <c r="O303" s="3">
        <v>4</v>
      </c>
      <c r="P303" s="3">
        <v>2618</v>
      </c>
      <c r="Q303" s="10">
        <f t="shared" ca="1" si="12"/>
        <v>42487</v>
      </c>
      <c r="R303" s="10">
        <f t="shared" ca="1" si="13"/>
        <v>42755</v>
      </c>
      <c r="S303" s="11">
        <f t="shared" ca="1" si="14"/>
        <v>0.76587301587301593</v>
      </c>
      <c r="T303" s="10"/>
    </row>
    <row r="304" spans="2:20" x14ac:dyDescent="0.2">
      <c r="B304" s="5" t="s">
        <v>1723</v>
      </c>
      <c r="C304" s="3">
        <v>26</v>
      </c>
      <c r="D304" s="3">
        <v>-5</v>
      </c>
      <c r="E304" s="3">
        <v>25.55</v>
      </c>
      <c r="F304" s="3">
        <v>27.4</v>
      </c>
      <c r="G304" s="3">
        <v>20</v>
      </c>
      <c r="H304" s="3">
        <v>975</v>
      </c>
      <c r="I304" s="3">
        <v>120</v>
      </c>
      <c r="J304" s="5" t="s">
        <v>1724</v>
      </c>
      <c r="K304" s="3">
        <v>3.65</v>
      </c>
      <c r="L304" s="3">
        <v>0.71</v>
      </c>
      <c r="M304" s="3">
        <v>3.55</v>
      </c>
      <c r="N304" s="3">
        <v>3.7</v>
      </c>
      <c r="O304" s="3">
        <v>3</v>
      </c>
      <c r="P304" s="3">
        <v>4605</v>
      </c>
      <c r="Q304" s="10">
        <f t="shared" ca="1" si="12"/>
        <v>42487</v>
      </c>
      <c r="R304" s="10">
        <f t="shared" ca="1" si="13"/>
        <v>42755</v>
      </c>
      <c r="S304" s="11">
        <f t="shared" ca="1" si="14"/>
        <v>0.76587301587301593</v>
      </c>
      <c r="T304" s="10"/>
    </row>
    <row r="305" spans="2:20" x14ac:dyDescent="0.2">
      <c r="B305" s="5" t="s">
        <v>1725</v>
      </c>
      <c r="C305" s="3">
        <v>25.61</v>
      </c>
      <c r="D305" s="3">
        <v>0</v>
      </c>
      <c r="E305" s="3">
        <v>22.65</v>
      </c>
      <c r="F305" s="3">
        <v>23</v>
      </c>
      <c r="G305" s="3">
        <v>120</v>
      </c>
      <c r="H305" s="3">
        <v>1665</v>
      </c>
      <c r="I305" s="3">
        <v>125</v>
      </c>
      <c r="J305" s="5" t="s">
        <v>1726</v>
      </c>
      <c r="K305" s="3">
        <v>4.6500000000000004</v>
      </c>
      <c r="L305" s="3">
        <v>0.65</v>
      </c>
      <c r="M305" s="3">
        <v>4.45</v>
      </c>
      <c r="N305" s="3">
        <v>4.6500000000000004</v>
      </c>
      <c r="O305" s="3">
        <v>12</v>
      </c>
      <c r="P305" s="3">
        <v>2855</v>
      </c>
      <c r="Q305" s="10">
        <f t="shared" ca="1" si="12"/>
        <v>42487</v>
      </c>
      <c r="R305" s="10">
        <f t="shared" ca="1" si="13"/>
        <v>42755</v>
      </c>
      <c r="S305" s="11">
        <f t="shared" ca="1" si="14"/>
        <v>0.76587301587301593</v>
      </c>
      <c r="T305" s="10"/>
    </row>
    <row r="306" spans="2:20" x14ac:dyDescent="0.2">
      <c r="B306" s="5" t="s">
        <v>1727</v>
      </c>
      <c r="C306" s="3">
        <v>18.75</v>
      </c>
      <c r="D306" s="3">
        <v>-0.85</v>
      </c>
      <c r="E306" s="3">
        <v>18.7</v>
      </c>
      <c r="F306" s="3">
        <v>19.05</v>
      </c>
      <c r="G306" s="3">
        <v>4</v>
      </c>
      <c r="H306" s="3">
        <v>2808</v>
      </c>
      <c r="I306" s="3">
        <v>130</v>
      </c>
      <c r="J306" s="5" t="s">
        <v>1728</v>
      </c>
      <c r="K306" s="3">
        <v>6.15</v>
      </c>
      <c r="L306" s="3">
        <v>0.7</v>
      </c>
      <c r="M306" s="3">
        <v>5.75</v>
      </c>
      <c r="N306" s="3">
        <v>5.9</v>
      </c>
      <c r="O306" s="3">
        <v>3</v>
      </c>
      <c r="P306" s="3">
        <v>4577</v>
      </c>
      <c r="Q306" s="10">
        <f t="shared" ca="1" si="12"/>
        <v>42487</v>
      </c>
      <c r="R306" s="10">
        <f t="shared" ca="1" si="13"/>
        <v>42755</v>
      </c>
      <c r="S306" s="11">
        <f t="shared" ca="1" si="14"/>
        <v>0.76587301587301593</v>
      </c>
      <c r="T306" s="10"/>
    </row>
    <row r="307" spans="2:20" x14ac:dyDescent="0.2">
      <c r="B307" s="5" t="s">
        <v>1729</v>
      </c>
      <c r="C307" s="3">
        <v>15.25</v>
      </c>
      <c r="D307" s="3">
        <v>-1.76</v>
      </c>
      <c r="E307" s="3">
        <v>15.25</v>
      </c>
      <c r="F307" s="3">
        <v>15.5</v>
      </c>
      <c r="G307" s="3">
        <v>8</v>
      </c>
      <c r="H307" s="3">
        <v>2293</v>
      </c>
      <c r="I307" s="3">
        <v>135</v>
      </c>
      <c r="J307" s="5" t="s">
        <v>1730</v>
      </c>
      <c r="K307" s="3">
        <v>7.66</v>
      </c>
      <c r="L307" s="3">
        <v>1.06</v>
      </c>
      <c r="M307" s="3">
        <v>7.25</v>
      </c>
      <c r="N307" s="3">
        <v>7.5</v>
      </c>
      <c r="O307" s="3">
        <v>17</v>
      </c>
      <c r="P307" s="3">
        <v>6173</v>
      </c>
      <c r="Q307" s="10">
        <f t="shared" ca="1" si="12"/>
        <v>42487</v>
      </c>
      <c r="R307" s="10">
        <f t="shared" ca="1" si="13"/>
        <v>42755</v>
      </c>
      <c r="S307" s="11">
        <f t="shared" ca="1" si="14"/>
        <v>0.76587301587301593</v>
      </c>
      <c r="T307" s="10"/>
    </row>
    <row r="308" spans="2:20" x14ac:dyDescent="0.2">
      <c r="B308" s="5" t="s">
        <v>1731</v>
      </c>
      <c r="C308" s="3">
        <v>12.1</v>
      </c>
      <c r="D308" s="3">
        <v>-0.7</v>
      </c>
      <c r="E308" s="3">
        <v>12.05</v>
      </c>
      <c r="F308" s="3">
        <v>12.3</v>
      </c>
      <c r="G308" s="3">
        <v>109</v>
      </c>
      <c r="H308" s="3">
        <v>3849</v>
      </c>
      <c r="I308" s="3">
        <v>140</v>
      </c>
      <c r="J308" s="5" t="s">
        <v>1732</v>
      </c>
      <c r="K308" s="3">
        <v>9.35</v>
      </c>
      <c r="L308" s="3">
        <v>0.45</v>
      </c>
      <c r="M308" s="3">
        <v>9.1999999999999993</v>
      </c>
      <c r="N308" s="3">
        <v>9.4499999999999993</v>
      </c>
      <c r="O308" s="3">
        <v>31</v>
      </c>
      <c r="P308" s="3">
        <v>8355</v>
      </c>
      <c r="Q308" s="10">
        <f t="shared" ca="1" si="12"/>
        <v>42487</v>
      </c>
      <c r="R308" s="10">
        <f t="shared" ca="1" si="13"/>
        <v>42755</v>
      </c>
      <c r="S308" s="11">
        <f t="shared" ca="1" si="14"/>
        <v>0.76587301587301593</v>
      </c>
      <c r="T308" s="10"/>
    </row>
    <row r="309" spans="2:20" x14ac:dyDescent="0.2">
      <c r="B309" s="5" t="s">
        <v>1733</v>
      </c>
      <c r="C309" s="3">
        <v>9.8000000000000007</v>
      </c>
      <c r="D309" s="3">
        <v>0</v>
      </c>
      <c r="E309" s="3">
        <v>9.25</v>
      </c>
      <c r="F309" s="3">
        <v>9.5</v>
      </c>
      <c r="G309" s="3">
        <v>17</v>
      </c>
      <c r="H309" s="3">
        <v>1756</v>
      </c>
      <c r="I309" s="3">
        <v>145</v>
      </c>
      <c r="J309" s="5" t="s">
        <v>1734</v>
      </c>
      <c r="K309" s="3">
        <v>11.5</v>
      </c>
      <c r="L309" s="3">
        <v>0.44</v>
      </c>
      <c r="M309" s="3">
        <v>11.5</v>
      </c>
      <c r="N309" s="3">
        <v>11.75</v>
      </c>
      <c r="O309" s="3">
        <v>483</v>
      </c>
      <c r="P309" s="3">
        <v>3444</v>
      </c>
      <c r="Q309" s="10">
        <f t="shared" ca="1" si="12"/>
        <v>42487</v>
      </c>
      <c r="R309" s="10">
        <f t="shared" ca="1" si="13"/>
        <v>42755</v>
      </c>
      <c r="S309" s="11">
        <f t="shared" ca="1" si="14"/>
        <v>0.76587301587301593</v>
      </c>
      <c r="T309" s="10"/>
    </row>
    <row r="310" spans="2:20" x14ac:dyDescent="0.2">
      <c r="B310" s="5" t="s">
        <v>1735</v>
      </c>
      <c r="C310" s="3">
        <v>7</v>
      </c>
      <c r="D310" s="3">
        <v>-0.4</v>
      </c>
      <c r="E310" s="3">
        <v>6.95</v>
      </c>
      <c r="F310" s="3">
        <v>7.15</v>
      </c>
      <c r="G310" s="3">
        <v>44</v>
      </c>
      <c r="H310" s="3">
        <v>8654</v>
      </c>
      <c r="I310" s="3">
        <v>150</v>
      </c>
      <c r="J310" s="5" t="s">
        <v>1736</v>
      </c>
      <c r="K310" s="3">
        <v>14.5</v>
      </c>
      <c r="L310" s="3">
        <v>0.9</v>
      </c>
      <c r="M310" s="3">
        <v>14.2</v>
      </c>
      <c r="N310" s="3">
        <v>14.5</v>
      </c>
      <c r="O310" s="3">
        <v>4</v>
      </c>
      <c r="P310" s="3">
        <v>3449</v>
      </c>
      <c r="Q310" s="10">
        <f t="shared" ca="1" si="12"/>
        <v>42487</v>
      </c>
      <c r="R310" s="10">
        <f t="shared" ca="1" si="13"/>
        <v>42755</v>
      </c>
      <c r="S310" s="11">
        <f t="shared" ca="1" si="14"/>
        <v>0.76587301587301593</v>
      </c>
      <c r="T310" s="10"/>
    </row>
    <row r="311" spans="2:20" x14ac:dyDescent="0.2">
      <c r="B311" s="5" t="s">
        <v>1737</v>
      </c>
      <c r="C311" s="3">
        <v>4.9000000000000004</v>
      </c>
      <c r="D311" s="3">
        <v>-0.67</v>
      </c>
      <c r="E311" s="3">
        <v>5.05</v>
      </c>
      <c r="F311" s="3">
        <v>5.3</v>
      </c>
      <c r="G311" s="3">
        <v>2</v>
      </c>
      <c r="H311" s="3">
        <v>3691</v>
      </c>
      <c r="I311" s="3">
        <v>155</v>
      </c>
      <c r="J311" s="5" t="s">
        <v>1738</v>
      </c>
      <c r="K311" s="3">
        <v>14.45</v>
      </c>
      <c r="L311" s="3">
        <v>0</v>
      </c>
      <c r="M311" s="3">
        <v>17.350000000000001</v>
      </c>
      <c r="N311" s="3">
        <v>17.649999999999999</v>
      </c>
      <c r="O311" s="3">
        <v>46</v>
      </c>
      <c r="P311" s="3">
        <v>1346</v>
      </c>
      <c r="Q311" s="10">
        <f t="shared" ca="1" si="12"/>
        <v>42487</v>
      </c>
      <c r="R311" s="10">
        <f t="shared" ca="1" si="13"/>
        <v>42755</v>
      </c>
      <c r="S311" s="11">
        <f t="shared" ca="1" si="14"/>
        <v>0.76587301587301593</v>
      </c>
      <c r="T311" s="10"/>
    </row>
    <row r="312" spans="2:20" x14ac:dyDescent="0.2">
      <c r="B312" s="5" t="s">
        <v>1739</v>
      </c>
      <c r="C312" s="3">
        <v>3.69</v>
      </c>
      <c r="D312" s="3">
        <v>-0.21</v>
      </c>
      <c r="E312" s="3">
        <v>3.6</v>
      </c>
      <c r="F312" s="3">
        <v>3.8</v>
      </c>
      <c r="G312" s="3">
        <v>19</v>
      </c>
      <c r="H312" s="3">
        <v>5912</v>
      </c>
      <c r="I312" s="3">
        <v>160</v>
      </c>
      <c r="J312" s="5" t="s">
        <v>1740</v>
      </c>
      <c r="K312" s="3">
        <v>21.4</v>
      </c>
      <c r="L312" s="3">
        <v>3.9</v>
      </c>
      <c r="M312" s="3">
        <v>20.9</v>
      </c>
      <c r="N312" s="3">
        <v>21.25</v>
      </c>
      <c r="O312" s="3">
        <v>1</v>
      </c>
      <c r="P312" s="3">
        <v>2061</v>
      </c>
      <c r="Q312" s="10">
        <f t="shared" ca="1" si="12"/>
        <v>42487</v>
      </c>
      <c r="R312" s="10">
        <f t="shared" ca="1" si="13"/>
        <v>42755</v>
      </c>
      <c r="S312" s="11">
        <f t="shared" ca="1" si="14"/>
        <v>0.76587301587301593</v>
      </c>
      <c r="T312" s="10"/>
    </row>
    <row r="313" spans="2:20" x14ac:dyDescent="0.2">
      <c r="B313" s="5" t="s">
        <v>1741</v>
      </c>
      <c r="C313" s="3">
        <v>2.33</v>
      </c>
      <c r="D313" s="3">
        <v>-0.79</v>
      </c>
      <c r="E313" s="3">
        <v>2.48</v>
      </c>
      <c r="F313" s="3">
        <v>2.63</v>
      </c>
      <c r="G313" s="3">
        <v>4</v>
      </c>
      <c r="H313" s="3">
        <v>2579</v>
      </c>
      <c r="I313" s="3">
        <v>165</v>
      </c>
      <c r="J313" s="5" t="s">
        <v>1742</v>
      </c>
      <c r="K313" s="3">
        <v>21.2</v>
      </c>
      <c r="L313" s="3">
        <v>0</v>
      </c>
      <c r="M313" s="3">
        <v>24.75</v>
      </c>
      <c r="N313" s="3">
        <v>25.15</v>
      </c>
      <c r="O313" s="3">
        <v>53</v>
      </c>
      <c r="P313" s="3">
        <v>1034</v>
      </c>
      <c r="Q313" s="10">
        <f t="shared" ca="1" si="12"/>
        <v>42487</v>
      </c>
      <c r="R313" s="10">
        <f t="shared" ca="1" si="13"/>
        <v>42755</v>
      </c>
      <c r="S313" s="11">
        <f t="shared" ca="1" si="14"/>
        <v>0.76587301587301593</v>
      </c>
      <c r="T313" s="10"/>
    </row>
    <row r="314" spans="2:20" x14ac:dyDescent="0.2">
      <c r="B314" s="5" t="s">
        <v>1743</v>
      </c>
      <c r="C314" s="3">
        <v>1.56</v>
      </c>
      <c r="D314" s="3">
        <v>-0.28000000000000003</v>
      </c>
      <c r="E314" s="3">
        <v>1.67</v>
      </c>
      <c r="F314" s="3">
        <v>1.81</v>
      </c>
      <c r="G314" s="3">
        <v>41</v>
      </c>
      <c r="H314" s="3">
        <v>3030</v>
      </c>
      <c r="I314" s="3">
        <v>170</v>
      </c>
      <c r="J314" s="5" t="s">
        <v>1744</v>
      </c>
      <c r="K314" s="3">
        <v>28.2</v>
      </c>
      <c r="L314" s="3">
        <v>0</v>
      </c>
      <c r="M314" s="3">
        <v>26.45</v>
      </c>
      <c r="N314" s="3">
        <v>27.35</v>
      </c>
      <c r="O314" s="3">
        <v>10</v>
      </c>
      <c r="P314" s="3">
        <v>717</v>
      </c>
      <c r="Q314" s="10">
        <f t="shared" ca="1" si="12"/>
        <v>42487</v>
      </c>
      <c r="R314" s="10">
        <f t="shared" ca="1" si="13"/>
        <v>42755</v>
      </c>
      <c r="S314" s="11">
        <f t="shared" ca="1" si="14"/>
        <v>0.76587301587301593</v>
      </c>
      <c r="T314" s="10"/>
    </row>
    <row r="315" spans="2:20" x14ac:dyDescent="0.2">
      <c r="B315" s="5" t="s">
        <v>1745</v>
      </c>
      <c r="C315" s="3">
        <v>1.1499999999999999</v>
      </c>
      <c r="D315" s="3">
        <v>-0.45</v>
      </c>
      <c r="E315" s="3">
        <v>1.1000000000000001</v>
      </c>
      <c r="F315" s="3">
        <v>1.22</v>
      </c>
      <c r="G315" s="3">
        <v>20</v>
      </c>
      <c r="H315" s="3">
        <v>1620</v>
      </c>
      <c r="I315" s="3">
        <v>175</v>
      </c>
      <c r="J315" s="5" t="s">
        <v>1746</v>
      </c>
      <c r="K315" s="3">
        <v>30.57</v>
      </c>
      <c r="L315" s="3">
        <v>0</v>
      </c>
      <c r="M315" s="3">
        <v>33.299999999999997</v>
      </c>
      <c r="N315" s="3">
        <v>33.85</v>
      </c>
      <c r="O315" s="3">
        <v>1</v>
      </c>
      <c r="P315" s="3">
        <v>1043</v>
      </c>
      <c r="Q315" s="10">
        <f t="shared" ca="1" si="12"/>
        <v>42487</v>
      </c>
      <c r="R315" s="10">
        <f t="shared" ca="1" si="13"/>
        <v>42755</v>
      </c>
      <c r="S315" s="11">
        <f t="shared" ca="1" si="14"/>
        <v>0.76587301587301593</v>
      </c>
      <c r="T315" s="10"/>
    </row>
    <row r="316" spans="2:20" x14ac:dyDescent="0.2">
      <c r="B316" s="5" t="s">
        <v>1747</v>
      </c>
      <c r="C316" s="3">
        <v>0.66</v>
      </c>
      <c r="D316" s="3">
        <v>-0.42</v>
      </c>
      <c r="E316" s="3">
        <v>0.72</v>
      </c>
      <c r="F316" s="3">
        <v>0.81</v>
      </c>
      <c r="G316" s="3">
        <v>55</v>
      </c>
      <c r="H316" s="3">
        <v>3448</v>
      </c>
      <c r="I316" s="3">
        <v>180</v>
      </c>
      <c r="J316" s="5" t="s">
        <v>1748</v>
      </c>
      <c r="K316" s="3">
        <v>35.1</v>
      </c>
      <c r="L316" s="3">
        <v>0</v>
      </c>
      <c r="M316" s="3">
        <v>32.65</v>
      </c>
      <c r="N316" s="3">
        <v>33.450000000000003</v>
      </c>
      <c r="O316" s="3">
        <v>5</v>
      </c>
      <c r="P316" s="3">
        <v>324</v>
      </c>
      <c r="Q316" s="10">
        <f t="shared" ca="1" si="12"/>
        <v>42487</v>
      </c>
      <c r="R316" s="10">
        <f t="shared" ca="1" si="13"/>
        <v>42755</v>
      </c>
      <c r="S316" s="11">
        <f t="shared" ca="1" si="14"/>
        <v>0.76587301587301593</v>
      </c>
      <c r="T316" s="10"/>
    </row>
    <row r="317" spans="2:20" x14ac:dyDescent="0.2">
      <c r="B317" s="5" t="s">
        <v>1749</v>
      </c>
      <c r="C317" s="3">
        <v>0.45</v>
      </c>
      <c r="D317" s="3">
        <v>-0.15</v>
      </c>
      <c r="E317" s="3">
        <v>0.45</v>
      </c>
      <c r="F317" s="3">
        <v>0.56000000000000005</v>
      </c>
      <c r="G317" s="3">
        <v>30</v>
      </c>
      <c r="H317" s="3">
        <v>2465</v>
      </c>
      <c r="I317" s="3">
        <v>185</v>
      </c>
      <c r="J317" s="5" t="s">
        <v>1750</v>
      </c>
      <c r="K317" s="3">
        <v>39</v>
      </c>
      <c r="L317" s="3">
        <v>0</v>
      </c>
      <c r="M317" s="3">
        <v>38.9</v>
      </c>
      <c r="N317" s="3">
        <v>40</v>
      </c>
      <c r="O317" s="3">
        <v>1</v>
      </c>
      <c r="P317" s="3">
        <v>242</v>
      </c>
      <c r="Q317" s="10">
        <f t="shared" ca="1" si="12"/>
        <v>42487</v>
      </c>
      <c r="R317" s="10">
        <f t="shared" ca="1" si="13"/>
        <v>42755</v>
      </c>
      <c r="S317" s="11">
        <f t="shared" ca="1" si="14"/>
        <v>0.76587301587301593</v>
      </c>
      <c r="T317" s="10"/>
    </row>
    <row r="318" spans="2:20" x14ac:dyDescent="0.2">
      <c r="B318" s="5" t="s">
        <v>1751</v>
      </c>
      <c r="C318" s="3">
        <v>0.36</v>
      </c>
      <c r="D318" s="3">
        <v>0</v>
      </c>
      <c r="E318" s="3">
        <v>0.26</v>
      </c>
      <c r="F318" s="3">
        <v>0.36</v>
      </c>
      <c r="G318" s="3">
        <v>26</v>
      </c>
      <c r="H318" s="3">
        <v>1403</v>
      </c>
      <c r="I318" s="3">
        <v>190</v>
      </c>
      <c r="J318" s="5" t="s">
        <v>1752</v>
      </c>
      <c r="K318" s="3">
        <v>46</v>
      </c>
      <c r="L318" s="3">
        <v>-8.94</v>
      </c>
      <c r="M318" s="3">
        <v>44.8</v>
      </c>
      <c r="N318" s="3">
        <v>48.05</v>
      </c>
      <c r="O318" s="3">
        <v>1</v>
      </c>
      <c r="P318" s="3">
        <v>159</v>
      </c>
      <c r="Q318" s="10">
        <f t="shared" ca="1" si="12"/>
        <v>42487</v>
      </c>
      <c r="R318" s="10">
        <f t="shared" ca="1" si="13"/>
        <v>42755</v>
      </c>
      <c r="S318" s="11">
        <f t="shared" ca="1" si="14"/>
        <v>0.76587301587301593</v>
      </c>
      <c r="T318" s="10"/>
    </row>
    <row r="319" spans="2:20" x14ac:dyDescent="0.2">
      <c r="B319" s="5" t="s">
        <v>1753</v>
      </c>
      <c r="C319" s="3">
        <v>0.19</v>
      </c>
      <c r="D319" s="3">
        <v>0</v>
      </c>
      <c r="E319" s="3">
        <v>0.16</v>
      </c>
      <c r="F319" s="3">
        <v>0.28999999999999998</v>
      </c>
      <c r="G319" s="3">
        <v>3</v>
      </c>
      <c r="H319" s="3">
        <v>631</v>
      </c>
      <c r="I319" s="3">
        <v>195</v>
      </c>
      <c r="J319" s="5" t="s">
        <v>1754</v>
      </c>
      <c r="K319" s="3">
        <v>49.5</v>
      </c>
      <c r="L319" s="3">
        <v>3.43</v>
      </c>
      <c r="M319" s="3">
        <v>48.35</v>
      </c>
      <c r="N319" s="3">
        <v>51.6</v>
      </c>
      <c r="O319" s="3">
        <v>8</v>
      </c>
      <c r="P319" s="3">
        <v>290</v>
      </c>
      <c r="Q319" s="10">
        <f t="shared" ca="1" si="12"/>
        <v>42487</v>
      </c>
      <c r="R319" s="10">
        <f t="shared" ca="1" si="13"/>
        <v>42755</v>
      </c>
      <c r="S319" s="11">
        <f t="shared" ca="1" si="14"/>
        <v>0.76587301587301593</v>
      </c>
      <c r="T319" s="10"/>
    </row>
    <row r="320" spans="2:20" x14ac:dyDescent="0.2">
      <c r="B320" s="5" t="s">
        <v>1755</v>
      </c>
      <c r="C320" s="3">
        <v>0.11</v>
      </c>
      <c r="D320" s="3">
        <v>-0.06</v>
      </c>
      <c r="E320" s="3">
        <v>7.0000000000000007E-2</v>
      </c>
      <c r="F320" s="3">
        <v>0.18</v>
      </c>
      <c r="G320" s="3">
        <v>1</v>
      </c>
      <c r="H320" s="3">
        <v>3769</v>
      </c>
      <c r="I320" s="3">
        <v>200</v>
      </c>
      <c r="J320" s="5" t="s">
        <v>1756</v>
      </c>
      <c r="K320" s="3">
        <v>55</v>
      </c>
      <c r="L320" s="3">
        <v>-9.09</v>
      </c>
      <c r="M320" s="3">
        <v>52.65</v>
      </c>
      <c r="N320" s="3">
        <v>57</v>
      </c>
      <c r="O320" s="3">
        <v>6</v>
      </c>
      <c r="P320" s="3">
        <v>229</v>
      </c>
      <c r="Q320" s="10">
        <f t="shared" ca="1" si="12"/>
        <v>42487</v>
      </c>
      <c r="R320" s="10">
        <f t="shared" ca="1" si="13"/>
        <v>42755</v>
      </c>
      <c r="S320" s="11">
        <f t="shared" ca="1" si="14"/>
        <v>0.76587301587301593</v>
      </c>
      <c r="T320" s="10"/>
    </row>
    <row r="321" spans="2:20" x14ac:dyDescent="0.2">
      <c r="B321" s="5" t="s">
        <v>1757</v>
      </c>
      <c r="C321" s="3">
        <v>0.12</v>
      </c>
      <c r="D321" s="3">
        <v>-0.05</v>
      </c>
      <c r="E321" s="3">
        <v>7.0000000000000007E-2</v>
      </c>
      <c r="F321" s="3">
        <v>0.19</v>
      </c>
      <c r="G321" s="3">
        <v>102</v>
      </c>
      <c r="H321" s="3">
        <v>898</v>
      </c>
      <c r="I321" s="3">
        <v>210</v>
      </c>
      <c r="J321" s="5" t="s">
        <v>1758</v>
      </c>
      <c r="K321" s="3">
        <v>74.61</v>
      </c>
      <c r="L321" s="3">
        <v>0</v>
      </c>
      <c r="M321" s="3">
        <v>62.5</v>
      </c>
      <c r="N321" s="3">
        <v>67.3</v>
      </c>
      <c r="O321" s="3">
        <v>0</v>
      </c>
      <c r="P321" s="3">
        <v>32</v>
      </c>
      <c r="Q321" s="10">
        <f t="shared" ca="1" si="12"/>
        <v>42487</v>
      </c>
      <c r="R321" s="10">
        <f t="shared" ca="1" si="13"/>
        <v>42755</v>
      </c>
      <c r="S321" s="11">
        <f t="shared" ca="1" si="14"/>
        <v>0.76587301587301593</v>
      </c>
      <c r="T321" s="10"/>
    </row>
    <row r="322" spans="2:20" x14ac:dyDescent="0.2">
      <c r="B322" s="5" t="s">
        <v>1759</v>
      </c>
      <c r="C322" s="3">
        <v>0.01</v>
      </c>
      <c r="D322" s="3">
        <v>-0.06</v>
      </c>
      <c r="E322" s="3">
        <v>0.01</v>
      </c>
      <c r="F322" s="3">
        <v>0.08</v>
      </c>
      <c r="G322" s="3">
        <v>100</v>
      </c>
      <c r="H322" s="3">
        <v>1384</v>
      </c>
      <c r="I322" s="3">
        <v>220</v>
      </c>
      <c r="J322" s="5" t="s">
        <v>1760</v>
      </c>
      <c r="K322" s="3">
        <v>0</v>
      </c>
      <c r="L322" s="3">
        <v>0</v>
      </c>
      <c r="M322" s="3">
        <v>81.400000000000006</v>
      </c>
      <c r="N322" s="3">
        <v>85.4</v>
      </c>
      <c r="O322" s="3">
        <v>0</v>
      </c>
      <c r="P322" s="3">
        <v>12</v>
      </c>
      <c r="Q322" s="10">
        <f t="shared" ca="1" si="12"/>
        <v>42487</v>
      </c>
      <c r="R322" s="10">
        <f t="shared" ca="1" si="13"/>
        <v>42755</v>
      </c>
      <c r="S322" s="11">
        <f t="shared" ca="1" si="14"/>
        <v>0.76587301587301593</v>
      </c>
      <c r="T322" s="10"/>
    </row>
    <row r="323" spans="2:20" x14ac:dyDescent="0.2">
      <c r="B323" s="5" t="s">
        <v>1761</v>
      </c>
      <c r="C323" s="3">
        <v>0.05</v>
      </c>
      <c r="D323" s="3">
        <v>-0.01</v>
      </c>
      <c r="E323" s="3">
        <v>0</v>
      </c>
      <c r="F323" s="3">
        <v>7.0000000000000007E-2</v>
      </c>
      <c r="G323" s="3">
        <v>110</v>
      </c>
      <c r="H323" s="3">
        <v>1119</v>
      </c>
      <c r="I323" s="3">
        <v>230</v>
      </c>
      <c r="J323" s="5" t="s">
        <v>1762</v>
      </c>
      <c r="K323" s="3">
        <v>111.56</v>
      </c>
      <c r="L323" s="3">
        <v>0</v>
      </c>
      <c r="M323" s="3">
        <v>82.2</v>
      </c>
      <c r="N323" s="3">
        <v>87</v>
      </c>
      <c r="O323" s="3">
        <v>0</v>
      </c>
      <c r="P323" s="3">
        <v>14</v>
      </c>
      <c r="Q323" s="10">
        <f t="shared" ca="1" si="12"/>
        <v>42487</v>
      </c>
      <c r="R323" s="10">
        <f t="shared" ca="1" si="13"/>
        <v>42755</v>
      </c>
      <c r="S323" s="11">
        <f t="shared" ca="1" si="14"/>
        <v>0.76587301587301593</v>
      </c>
      <c r="T323" s="10"/>
    </row>
    <row r="324" spans="2:20" x14ac:dyDescent="0.2">
      <c r="B324" s="5" t="s">
        <v>1763</v>
      </c>
      <c r="C324" s="3">
        <v>0.01</v>
      </c>
      <c r="D324" s="3">
        <v>0</v>
      </c>
      <c r="E324" s="3">
        <v>0</v>
      </c>
      <c r="F324" s="3">
        <v>0.09</v>
      </c>
      <c r="G324" s="3">
        <v>0</v>
      </c>
      <c r="H324" s="3">
        <v>423</v>
      </c>
      <c r="I324" s="3">
        <v>240</v>
      </c>
      <c r="J324" s="5" t="s">
        <v>1764</v>
      </c>
      <c r="K324" s="3">
        <v>0</v>
      </c>
      <c r="L324" s="3">
        <v>0</v>
      </c>
      <c r="M324" s="3">
        <v>100.2</v>
      </c>
      <c r="N324" s="3">
        <v>105</v>
      </c>
      <c r="O324" s="3">
        <v>0</v>
      </c>
      <c r="P324" s="3">
        <v>0</v>
      </c>
      <c r="Q324" s="10">
        <f t="shared" ca="1" si="12"/>
        <v>42487</v>
      </c>
      <c r="R324" s="10">
        <f t="shared" ca="1" si="13"/>
        <v>42755</v>
      </c>
      <c r="S324" s="11">
        <f t="shared" ca="1" si="14"/>
        <v>0.76587301587301593</v>
      </c>
      <c r="T324" s="10"/>
    </row>
    <row r="325" spans="2:20" x14ac:dyDescent="0.2">
      <c r="B325" s="5" t="s">
        <v>1765</v>
      </c>
      <c r="C325" s="3">
        <v>0.04</v>
      </c>
      <c r="D325" s="3">
        <v>0</v>
      </c>
      <c r="E325" s="3">
        <v>0</v>
      </c>
      <c r="F325" s="3">
        <v>0.08</v>
      </c>
      <c r="G325" s="3">
        <v>3</v>
      </c>
      <c r="H325" s="3">
        <v>556</v>
      </c>
      <c r="I325" s="3">
        <v>250</v>
      </c>
      <c r="J325" s="5" t="s">
        <v>1766</v>
      </c>
      <c r="K325" s="3">
        <v>103.31</v>
      </c>
      <c r="L325" s="3">
        <v>0</v>
      </c>
      <c r="M325" s="3">
        <v>102.5</v>
      </c>
      <c r="N325" s="3">
        <v>106.85</v>
      </c>
      <c r="O325" s="3">
        <v>1</v>
      </c>
      <c r="P325" s="3">
        <v>28</v>
      </c>
      <c r="Q325" s="10">
        <f t="shared" ca="1" si="12"/>
        <v>42487</v>
      </c>
      <c r="R325" s="10">
        <f t="shared" ca="1" si="13"/>
        <v>42755</v>
      </c>
      <c r="S325" s="11">
        <f t="shared" ca="1" si="14"/>
        <v>0.76587301587301593</v>
      </c>
      <c r="T325" s="10"/>
    </row>
    <row r="326" spans="2:20" x14ac:dyDescent="0.2">
      <c r="B326" s="5" t="s">
        <v>1767</v>
      </c>
      <c r="C326" s="3">
        <v>0.01</v>
      </c>
      <c r="D326" s="3">
        <v>0</v>
      </c>
      <c r="E326" s="3">
        <v>0</v>
      </c>
      <c r="F326" s="3">
        <v>0.08</v>
      </c>
      <c r="G326" s="3">
        <v>0</v>
      </c>
      <c r="H326" s="3">
        <v>61</v>
      </c>
      <c r="I326" s="3">
        <v>260</v>
      </c>
      <c r="J326" s="5" t="s">
        <v>1768</v>
      </c>
      <c r="K326" s="3">
        <v>123.21</v>
      </c>
      <c r="L326" s="3">
        <v>0</v>
      </c>
      <c r="M326" s="3">
        <v>112.05</v>
      </c>
      <c r="N326" s="3">
        <v>117</v>
      </c>
      <c r="O326" s="3">
        <v>0</v>
      </c>
      <c r="P326" s="3">
        <v>4</v>
      </c>
      <c r="Q326" s="10">
        <f t="shared" ca="1" si="12"/>
        <v>42487</v>
      </c>
      <c r="R326" s="10">
        <f t="shared" ca="1" si="13"/>
        <v>42755</v>
      </c>
      <c r="S326" s="11">
        <f t="shared" ca="1" si="14"/>
        <v>0.76587301587301593</v>
      </c>
      <c r="T326" s="10"/>
    </row>
    <row r="327" spans="2:20" x14ac:dyDescent="0.2">
      <c r="B327" s="5" t="s">
        <v>1769</v>
      </c>
      <c r="C327" s="3">
        <v>0.01</v>
      </c>
      <c r="D327" s="3">
        <v>0</v>
      </c>
      <c r="E327" s="3">
        <v>0</v>
      </c>
      <c r="F327" s="3">
        <v>0.08</v>
      </c>
      <c r="G327" s="3">
        <v>0</v>
      </c>
      <c r="H327" s="3">
        <v>234</v>
      </c>
      <c r="I327" s="3">
        <v>270</v>
      </c>
      <c r="J327" s="5" t="s">
        <v>1770</v>
      </c>
      <c r="K327" s="3">
        <v>0</v>
      </c>
      <c r="L327" s="3">
        <v>0</v>
      </c>
      <c r="M327" s="3">
        <v>130.05000000000001</v>
      </c>
      <c r="N327" s="3">
        <v>135</v>
      </c>
      <c r="O327" s="3">
        <v>0</v>
      </c>
      <c r="P327" s="3">
        <v>0</v>
      </c>
      <c r="Q327" s="10">
        <f t="shared" ref="Q327:Q359" ca="1" si="15">TODAY()</f>
        <v>42487</v>
      </c>
      <c r="R327" s="10">
        <f t="shared" ref="R327:R359" ca="1" si="16">DATE(MID(B327,$R$3+1,2)+100,MID(B327,$R$3+3,2),MID(B327,$R$3+5,2))</f>
        <v>42755</v>
      </c>
      <c r="S327" s="11">
        <f t="shared" ref="S327:S359" ca="1" si="17">NETWORKDAYS(Q327,R327)/252</f>
        <v>0.76587301587301593</v>
      </c>
      <c r="T327" s="10"/>
    </row>
    <row r="328" spans="2:20" x14ac:dyDescent="0.2">
      <c r="B328" s="5" t="s">
        <v>1771</v>
      </c>
      <c r="C328" s="3">
        <v>0.01</v>
      </c>
      <c r="D328" s="3">
        <v>0</v>
      </c>
      <c r="E328" s="3">
        <v>0</v>
      </c>
      <c r="F328" s="3">
        <v>0.08</v>
      </c>
      <c r="G328" s="3">
        <v>0</v>
      </c>
      <c r="H328" s="3">
        <v>1444</v>
      </c>
      <c r="I328" s="3">
        <v>280</v>
      </c>
      <c r="J328" s="5" t="s">
        <v>1772</v>
      </c>
      <c r="K328" s="3">
        <v>131.1</v>
      </c>
      <c r="L328" s="3">
        <v>0</v>
      </c>
      <c r="M328" s="3">
        <v>127.8</v>
      </c>
      <c r="N328" s="3">
        <v>132.5</v>
      </c>
      <c r="O328" s="3">
        <v>1</v>
      </c>
      <c r="P328" s="3">
        <v>1323</v>
      </c>
      <c r="Q328" s="10">
        <f t="shared" ca="1" si="15"/>
        <v>42487</v>
      </c>
      <c r="R328" s="10">
        <f t="shared" ca="1" si="16"/>
        <v>42755</v>
      </c>
      <c r="S328" s="11">
        <f t="shared" ca="1" si="17"/>
        <v>0.76587301587301593</v>
      </c>
      <c r="T328" s="10"/>
    </row>
    <row r="329" spans="2:20" x14ac:dyDescent="0.2">
      <c r="B329" s="5" t="s">
        <v>1773</v>
      </c>
      <c r="C329" s="3">
        <v>0</v>
      </c>
      <c r="D329" s="3">
        <v>0</v>
      </c>
      <c r="E329" s="3">
        <v>77.55</v>
      </c>
      <c r="F329" s="3">
        <v>82.5</v>
      </c>
      <c r="G329" s="3">
        <v>0</v>
      </c>
      <c r="H329" s="3">
        <v>0</v>
      </c>
      <c r="I329" s="3">
        <v>60</v>
      </c>
      <c r="J329" s="5" t="s">
        <v>1774</v>
      </c>
      <c r="K329" s="3">
        <v>0.65</v>
      </c>
      <c r="L329" s="3">
        <v>0</v>
      </c>
      <c r="M329" s="3">
        <v>0.66</v>
      </c>
      <c r="N329" s="3">
        <v>0.91</v>
      </c>
      <c r="O329" s="3">
        <v>12</v>
      </c>
      <c r="P329" s="3">
        <v>183</v>
      </c>
      <c r="Q329" s="10">
        <f t="shared" ca="1" si="15"/>
        <v>42487</v>
      </c>
      <c r="R329" s="10">
        <f t="shared" ca="1" si="16"/>
        <v>43119</v>
      </c>
      <c r="S329" s="11">
        <f t="shared" ca="1" si="17"/>
        <v>1.7976190476190477</v>
      </c>
      <c r="T329" s="10"/>
    </row>
    <row r="330" spans="2:20" x14ac:dyDescent="0.2">
      <c r="B330" s="5" t="s">
        <v>1775</v>
      </c>
      <c r="C330" s="3">
        <v>59.67</v>
      </c>
      <c r="D330" s="3">
        <v>0</v>
      </c>
      <c r="E330" s="3">
        <v>80.55</v>
      </c>
      <c r="F330" s="3">
        <v>85.5</v>
      </c>
      <c r="G330" s="3">
        <v>0</v>
      </c>
      <c r="H330" s="3">
        <v>2</v>
      </c>
      <c r="I330" s="3">
        <v>65</v>
      </c>
      <c r="J330" s="5" t="s">
        <v>1776</v>
      </c>
      <c r="K330" s="3">
        <v>1.0900000000000001</v>
      </c>
      <c r="L330" s="3">
        <v>-0.12</v>
      </c>
      <c r="M330" s="3">
        <v>0.97</v>
      </c>
      <c r="N330" s="3">
        <v>1.17</v>
      </c>
      <c r="O330" s="3">
        <v>15</v>
      </c>
      <c r="P330" s="3">
        <v>43</v>
      </c>
      <c r="Q330" s="10">
        <f t="shared" ca="1" si="15"/>
        <v>42487</v>
      </c>
      <c r="R330" s="10">
        <f t="shared" ca="1" si="16"/>
        <v>43119</v>
      </c>
      <c r="S330" s="11">
        <f t="shared" ca="1" si="17"/>
        <v>1.7976190476190477</v>
      </c>
      <c r="T330" s="10"/>
    </row>
    <row r="331" spans="2:20" x14ac:dyDescent="0.2">
      <c r="B331" s="5" t="s">
        <v>1777</v>
      </c>
      <c r="C331" s="3">
        <v>48.4</v>
      </c>
      <c r="D331" s="3">
        <v>0</v>
      </c>
      <c r="E331" s="3">
        <v>76</v>
      </c>
      <c r="F331" s="3">
        <v>80.8</v>
      </c>
      <c r="G331" s="3">
        <v>0</v>
      </c>
      <c r="H331" s="3">
        <v>6</v>
      </c>
      <c r="I331" s="3">
        <v>70</v>
      </c>
      <c r="J331" s="5" t="s">
        <v>1778</v>
      </c>
      <c r="K331" s="3">
        <v>1.1100000000000001</v>
      </c>
      <c r="L331" s="3">
        <v>0</v>
      </c>
      <c r="M331" s="3">
        <v>1.1100000000000001</v>
      </c>
      <c r="N331" s="3">
        <v>1.36</v>
      </c>
      <c r="O331" s="3">
        <v>99</v>
      </c>
      <c r="P331" s="3">
        <v>228</v>
      </c>
      <c r="Q331" s="10">
        <f t="shared" ca="1" si="15"/>
        <v>42487</v>
      </c>
      <c r="R331" s="10">
        <f t="shared" ca="1" si="16"/>
        <v>43119</v>
      </c>
      <c r="S331" s="11">
        <f t="shared" ca="1" si="17"/>
        <v>1.7976190476190477</v>
      </c>
      <c r="T331" s="10"/>
    </row>
    <row r="332" spans="2:20" x14ac:dyDescent="0.2">
      <c r="B332" s="5" t="s">
        <v>1779</v>
      </c>
      <c r="C332" s="3">
        <v>57.63</v>
      </c>
      <c r="D332" s="3">
        <v>0</v>
      </c>
      <c r="E332" s="3">
        <v>71</v>
      </c>
      <c r="F332" s="3">
        <v>75.849999999999994</v>
      </c>
      <c r="G332" s="3">
        <v>0</v>
      </c>
      <c r="H332" s="3">
        <v>9</v>
      </c>
      <c r="I332" s="3">
        <v>75</v>
      </c>
      <c r="J332" s="5" t="s">
        <v>1780</v>
      </c>
      <c r="K332" s="3">
        <v>1.5</v>
      </c>
      <c r="L332" s="3">
        <v>0.24</v>
      </c>
      <c r="M332" s="3">
        <v>1.4</v>
      </c>
      <c r="N332" s="3">
        <v>1.66</v>
      </c>
      <c r="O332" s="3">
        <v>3</v>
      </c>
      <c r="P332" s="3">
        <v>161</v>
      </c>
      <c r="Q332" s="10">
        <f t="shared" ca="1" si="15"/>
        <v>42487</v>
      </c>
      <c r="R332" s="10">
        <f t="shared" ca="1" si="16"/>
        <v>43119</v>
      </c>
      <c r="S332" s="11">
        <f t="shared" ca="1" si="17"/>
        <v>1.7976190476190477</v>
      </c>
      <c r="T332" s="10"/>
    </row>
    <row r="333" spans="2:20" x14ac:dyDescent="0.2">
      <c r="B333" s="5" t="s">
        <v>1781</v>
      </c>
      <c r="C333" s="3">
        <v>55.01</v>
      </c>
      <c r="D333" s="3">
        <v>0</v>
      </c>
      <c r="E333" s="3">
        <v>66</v>
      </c>
      <c r="F333" s="3">
        <v>70.95</v>
      </c>
      <c r="G333" s="3">
        <v>0</v>
      </c>
      <c r="H333" s="3">
        <v>11</v>
      </c>
      <c r="I333" s="3">
        <v>80</v>
      </c>
      <c r="J333" s="5" t="s">
        <v>1782</v>
      </c>
      <c r="K333" s="3">
        <v>1.94</v>
      </c>
      <c r="L333" s="3">
        <v>0.26</v>
      </c>
      <c r="M333" s="3">
        <v>1.75</v>
      </c>
      <c r="N333" s="3">
        <v>2.0099999999999998</v>
      </c>
      <c r="O333" s="3">
        <v>97</v>
      </c>
      <c r="P333" s="3">
        <v>255</v>
      </c>
      <c r="Q333" s="10">
        <f t="shared" ca="1" si="15"/>
        <v>42487</v>
      </c>
      <c r="R333" s="10">
        <f t="shared" ca="1" si="16"/>
        <v>43119</v>
      </c>
      <c r="S333" s="11">
        <f t="shared" ca="1" si="17"/>
        <v>1.7976190476190477</v>
      </c>
      <c r="T333" s="10"/>
    </row>
    <row r="334" spans="2:20" x14ac:dyDescent="0.2">
      <c r="B334" s="5" t="s">
        <v>1783</v>
      </c>
      <c r="C334" s="3">
        <v>0</v>
      </c>
      <c r="D334" s="3">
        <v>0</v>
      </c>
      <c r="E334" s="3">
        <v>53.05</v>
      </c>
      <c r="F334" s="3">
        <v>58</v>
      </c>
      <c r="G334" s="3">
        <v>0</v>
      </c>
      <c r="H334" s="3">
        <v>0</v>
      </c>
      <c r="I334" s="3">
        <v>85</v>
      </c>
      <c r="J334" s="5" t="s">
        <v>1784</v>
      </c>
      <c r="K334" s="3">
        <v>2.44</v>
      </c>
      <c r="L334" s="3">
        <v>0.39</v>
      </c>
      <c r="M334" s="3">
        <v>2.17</v>
      </c>
      <c r="N334" s="3">
        <v>2.4300000000000002</v>
      </c>
      <c r="O334" s="3">
        <v>39</v>
      </c>
      <c r="P334" s="3">
        <v>230</v>
      </c>
      <c r="Q334" s="10">
        <f t="shared" ca="1" si="15"/>
        <v>42487</v>
      </c>
      <c r="R334" s="10">
        <f t="shared" ca="1" si="16"/>
        <v>43119</v>
      </c>
      <c r="S334" s="11">
        <f t="shared" ca="1" si="17"/>
        <v>1.7976190476190477</v>
      </c>
      <c r="T334" s="10"/>
    </row>
    <row r="335" spans="2:20" x14ac:dyDescent="0.2">
      <c r="B335" s="5" t="s">
        <v>1785</v>
      </c>
      <c r="C335" s="3">
        <v>63.5</v>
      </c>
      <c r="D335" s="3">
        <v>15.5</v>
      </c>
      <c r="E335" s="3">
        <v>59.55</v>
      </c>
      <c r="F335" s="3">
        <v>64.5</v>
      </c>
      <c r="G335" s="3">
        <v>1</v>
      </c>
      <c r="H335" s="3">
        <v>113</v>
      </c>
      <c r="I335" s="3">
        <v>90</v>
      </c>
      <c r="J335" s="5" t="s">
        <v>1786</v>
      </c>
      <c r="K335" s="3">
        <v>2.93</v>
      </c>
      <c r="L335" s="3">
        <v>0.57999999999999996</v>
      </c>
      <c r="M335" s="3">
        <v>2.68</v>
      </c>
      <c r="N335" s="3">
        <v>2.94</v>
      </c>
      <c r="O335" s="3">
        <v>47</v>
      </c>
      <c r="P335" s="3">
        <v>139</v>
      </c>
      <c r="Q335" s="10">
        <f t="shared" ca="1" si="15"/>
        <v>42487</v>
      </c>
      <c r="R335" s="10">
        <f t="shared" ca="1" si="16"/>
        <v>43119</v>
      </c>
      <c r="S335" s="11">
        <f t="shared" ca="1" si="17"/>
        <v>1.7976190476190477</v>
      </c>
      <c r="T335" s="10"/>
    </row>
    <row r="336" spans="2:20" x14ac:dyDescent="0.2">
      <c r="B336" s="5" t="s">
        <v>1787</v>
      </c>
      <c r="C336" s="3">
        <v>39.75</v>
      </c>
      <c r="D336" s="3">
        <v>0</v>
      </c>
      <c r="E336" s="3">
        <v>51.05</v>
      </c>
      <c r="F336" s="3">
        <v>56</v>
      </c>
      <c r="G336" s="3">
        <v>0</v>
      </c>
      <c r="H336" s="3">
        <v>2</v>
      </c>
      <c r="I336" s="3">
        <v>95</v>
      </c>
      <c r="J336" s="5" t="s">
        <v>1788</v>
      </c>
      <c r="K336" s="3">
        <v>3.65</v>
      </c>
      <c r="L336" s="3">
        <v>0.6</v>
      </c>
      <c r="M336" s="3">
        <v>3.3</v>
      </c>
      <c r="N336" s="3">
        <v>3.6</v>
      </c>
      <c r="O336" s="3">
        <v>39</v>
      </c>
      <c r="P336" s="3">
        <v>60</v>
      </c>
      <c r="Q336" s="10">
        <f t="shared" ca="1" si="15"/>
        <v>42487</v>
      </c>
      <c r="R336" s="10">
        <f t="shared" ca="1" si="16"/>
        <v>43119</v>
      </c>
      <c r="S336" s="11">
        <f t="shared" ca="1" si="17"/>
        <v>1.7976190476190477</v>
      </c>
      <c r="T336" s="10"/>
    </row>
    <row r="337" spans="2:20" x14ac:dyDescent="0.2">
      <c r="B337" s="5" t="s">
        <v>1789</v>
      </c>
      <c r="C337" s="3">
        <v>50.65</v>
      </c>
      <c r="D337" s="3">
        <v>0</v>
      </c>
      <c r="E337" s="3">
        <v>43.5</v>
      </c>
      <c r="F337" s="3">
        <v>48.3</v>
      </c>
      <c r="G337" s="3">
        <v>1</v>
      </c>
      <c r="H337" s="3">
        <v>302</v>
      </c>
      <c r="I337" s="3">
        <v>100</v>
      </c>
      <c r="J337" s="5" t="s">
        <v>1790</v>
      </c>
      <c r="K337" s="3">
        <v>4.1500000000000004</v>
      </c>
      <c r="L337" s="3">
        <v>0.65</v>
      </c>
      <c r="M337" s="3">
        <v>4</v>
      </c>
      <c r="N337" s="3">
        <v>4.3</v>
      </c>
      <c r="O337" s="3">
        <v>103</v>
      </c>
      <c r="P337" s="3">
        <v>309</v>
      </c>
      <c r="Q337" s="10">
        <f t="shared" ca="1" si="15"/>
        <v>42487</v>
      </c>
      <c r="R337" s="10">
        <f t="shared" ca="1" si="16"/>
        <v>43119</v>
      </c>
      <c r="S337" s="11">
        <f t="shared" ca="1" si="17"/>
        <v>1.7976190476190477</v>
      </c>
      <c r="T337" s="10"/>
    </row>
    <row r="338" spans="2:20" x14ac:dyDescent="0.2">
      <c r="B338" s="5" t="s">
        <v>1791</v>
      </c>
      <c r="C338" s="3">
        <v>46.3</v>
      </c>
      <c r="D338" s="3">
        <v>0</v>
      </c>
      <c r="E338" s="3">
        <v>44.7</v>
      </c>
      <c r="F338" s="3">
        <v>49.5</v>
      </c>
      <c r="G338" s="3">
        <v>4</v>
      </c>
      <c r="H338" s="3">
        <v>282</v>
      </c>
      <c r="I338" s="3">
        <v>105</v>
      </c>
      <c r="J338" s="5" t="s">
        <v>1792</v>
      </c>
      <c r="K338" s="3">
        <v>5.05</v>
      </c>
      <c r="L338" s="3">
        <v>0.55000000000000004</v>
      </c>
      <c r="M338" s="3">
        <v>4.9000000000000004</v>
      </c>
      <c r="N338" s="3">
        <v>5.2</v>
      </c>
      <c r="O338" s="3">
        <v>2</v>
      </c>
      <c r="P338" s="3">
        <v>107</v>
      </c>
      <c r="Q338" s="10">
        <f t="shared" ca="1" si="15"/>
        <v>42487</v>
      </c>
      <c r="R338" s="10">
        <f t="shared" ca="1" si="16"/>
        <v>43119</v>
      </c>
      <c r="S338" s="11">
        <f t="shared" ca="1" si="17"/>
        <v>1.7976190476190477</v>
      </c>
      <c r="T338" s="10"/>
    </row>
    <row r="339" spans="2:20" x14ac:dyDescent="0.2">
      <c r="B339" s="5" t="s">
        <v>1793</v>
      </c>
      <c r="C339" s="3">
        <v>39.54</v>
      </c>
      <c r="D339" s="3">
        <v>0</v>
      </c>
      <c r="E339" s="3">
        <v>34.65</v>
      </c>
      <c r="F339" s="3">
        <v>38</v>
      </c>
      <c r="G339" s="3">
        <v>1</v>
      </c>
      <c r="H339" s="3">
        <v>259</v>
      </c>
      <c r="I339" s="3">
        <v>110</v>
      </c>
      <c r="J339" s="5" t="s">
        <v>1794</v>
      </c>
      <c r="K339" s="3">
        <v>6.35</v>
      </c>
      <c r="L339" s="3">
        <v>1</v>
      </c>
      <c r="M339" s="3">
        <v>5.9</v>
      </c>
      <c r="N339" s="3">
        <v>6.25</v>
      </c>
      <c r="O339" s="3">
        <v>7</v>
      </c>
      <c r="P339" s="3">
        <v>183</v>
      </c>
      <c r="Q339" s="10">
        <f t="shared" ca="1" si="15"/>
        <v>42487</v>
      </c>
      <c r="R339" s="10">
        <f t="shared" ca="1" si="16"/>
        <v>43119</v>
      </c>
      <c r="S339" s="11">
        <f t="shared" ca="1" si="17"/>
        <v>1.7976190476190477</v>
      </c>
      <c r="T339" s="10"/>
    </row>
    <row r="340" spans="2:20" x14ac:dyDescent="0.2">
      <c r="B340" s="5" t="s">
        <v>1795</v>
      </c>
      <c r="C340" s="3">
        <v>32</v>
      </c>
      <c r="D340" s="3">
        <v>-2.85</v>
      </c>
      <c r="E340" s="3">
        <v>32</v>
      </c>
      <c r="F340" s="3">
        <v>33.15</v>
      </c>
      <c r="G340" s="3">
        <v>3</v>
      </c>
      <c r="H340" s="3">
        <v>128</v>
      </c>
      <c r="I340" s="3">
        <v>115</v>
      </c>
      <c r="J340" s="5" t="s">
        <v>1796</v>
      </c>
      <c r="K340" s="3">
        <v>7.7</v>
      </c>
      <c r="L340" s="3">
        <v>1.43</v>
      </c>
      <c r="M340" s="3">
        <v>7.2</v>
      </c>
      <c r="N340" s="3">
        <v>7.5</v>
      </c>
      <c r="O340" s="3">
        <v>7</v>
      </c>
      <c r="P340" s="3">
        <v>170</v>
      </c>
      <c r="Q340" s="10">
        <f t="shared" ca="1" si="15"/>
        <v>42487</v>
      </c>
      <c r="R340" s="10">
        <f t="shared" ca="1" si="16"/>
        <v>43119</v>
      </c>
      <c r="S340" s="11">
        <f t="shared" ca="1" si="17"/>
        <v>1.7976190476190477</v>
      </c>
      <c r="T340" s="10"/>
    </row>
    <row r="341" spans="2:20" x14ac:dyDescent="0.2">
      <c r="B341" s="5" t="s">
        <v>1797</v>
      </c>
      <c r="C341" s="3">
        <v>28.35</v>
      </c>
      <c r="D341" s="3">
        <v>-0.86</v>
      </c>
      <c r="E341" s="3">
        <v>28.25</v>
      </c>
      <c r="F341" s="3">
        <v>29.35</v>
      </c>
      <c r="G341" s="3">
        <v>5</v>
      </c>
      <c r="H341" s="3">
        <v>957</v>
      </c>
      <c r="I341" s="3">
        <v>120</v>
      </c>
      <c r="J341" s="5" t="s">
        <v>1798</v>
      </c>
      <c r="K341" s="3">
        <v>9</v>
      </c>
      <c r="L341" s="3">
        <v>0.8</v>
      </c>
      <c r="M341" s="3">
        <v>8.5</v>
      </c>
      <c r="N341" s="3">
        <v>8.9</v>
      </c>
      <c r="O341" s="3">
        <v>13</v>
      </c>
      <c r="P341" s="3">
        <v>283</v>
      </c>
      <c r="Q341" s="10">
        <f t="shared" ca="1" si="15"/>
        <v>42487</v>
      </c>
      <c r="R341" s="10">
        <f t="shared" ca="1" si="16"/>
        <v>43119</v>
      </c>
      <c r="S341" s="11">
        <f t="shared" ca="1" si="17"/>
        <v>1.7976190476190477</v>
      </c>
      <c r="T341" s="10"/>
    </row>
    <row r="342" spans="2:20" x14ac:dyDescent="0.2">
      <c r="B342" s="5" t="s">
        <v>1799</v>
      </c>
      <c r="C342" s="3">
        <v>28.55</v>
      </c>
      <c r="D342" s="3">
        <v>0</v>
      </c>
      <c r="E342" s="3">
        <v>24.5</v>
      </c>
      <c r="F342" s="3">
        <v>25.55</v>
      </c>
      <c r="G342" s="3">
        <v>1</v>
      </c>
      <c r="H342" s="3">
        <v>585</v>
      </c>
      <c r="I342" s="3">
        <v>125</v>
      </c>
      <c r="J342" s="5" t="s">
        <v>1800</v>
      </c>
      <c r="K342" s="3">
        <v>10.5</v>
      </c>
      <c r="L342" s="3">
        <v>1.1499999999999999</v>
      </c>
      <c r="M342" s="3">
        <v>10.15</v>
      </c>
      <c r="N342" s="3">
        <v>10.55</v>
      </c>
      <c r="O342" s="3">
        <v>10</v>
      </c>
      <c r="P342" s="3">
        <v>589</v>
      </c>
      <c r="Q342" s="10">
        <f t="shared" ca="1" si="15"/>
        <v>42487</v>
      </c>
      <c r="R342" s="10">
        <f t="shared" ca="1" si="16"/>
        <v>43119</v>
      </c>
      <c r="S342" s="11">
        <f t="shared" ca="1" si="17"/>
        <v>1.7976190476190477</v>
      </c>
      <c r="T342" s="10"/>
    </row>
    <row r="343" spans="2:20" x14ac:dyDescent="0.2">
      <c r="B343" s="5" t="s">
        <v>1801</v>
      </c>
      <c r="C343" s="3">
        <v>21.4</v>
      </c>
      <c r="D343" s="3">
        <v>-0.9</v>
      </c>
      <c r="E343" s="3">
        <v>21.4</v>
      </c>
      <c r="F343" s="3">
        <v>22</v>
      </c>
      <c r="G343" s="3">
        <v>8</v>
      </c>
      <c r="H343" s="3">
        <v>719</v>
      </c>
      <c r="I343" s="3">
        <v>130</v>
      </c>
      <c r="J343" s="5" t="s">
        <v>1802</v>
      </c>
      <c r="K343" s="3">
        <v>12.35</v>
      </c>
      <c r="L343" s="3">
        <v>0.85</v>
      </c>
      <c r="M343" s="3">
        <v>12</v>
      </c>
      <c r="N343" s="3">
        <v>12.4</v>
      </c>
      <c r="O343" s="3">
        <v>9</v>
      </c>
      <c r="P343" s="3">
        <v>2179</v>
      </c>
      <c r="Q343" s="10">
        <f t="shared" ca="1" si="15"/>
        <v>42487</v>
      </c>
      <c r="R343" s="10">
        <f t="shared" ca="1" si="16"/>
        <v>43119</v>
      </c>
      <c r="S343" s="11">
        <f t="shared" ca="1" si="17"/>
        <v>1.7976190476190477</v>
      </c>
      <c r="T343" s="10"/>
    </row>
    <row r="344" spans="2:20" x14ac:dyDescent="0.2">
      <c r="B344" s="5" t="s">
        <v>1803</v>
      </c>
      <c r="C344" s="3">
        <v>18.46</v>
      </c>
      <c r="D344" s="3">
        <v>-2.29</v>
      </c>
      <c r="E344" s="3">
        <v>18.45</v>
      </c>
      <c r="F344" s="3">
        <v>19</v>
      </c>
      <c r="G344" s="3">
        <v>6</v>
      </c>
      <c r="H344" s="3">
        <v>1284</v>
      </c>
      <c r="I344" s="3">
        <v>135</v>
      </c>
      <c r="J344" s="5" t="s">
        <v>1804</v>
      </c>
      <c r="K344" s="3">
        <v>14.95</v>
      </c>
      <c r="L344" s="3">
        <v>1.05</v>
      </c>
      <c r="M344" s="3">
        <v>14.25</v>
      </c>
      <c r="N344" s="3">
        <v>14.55</v>
      </c>
      <c r="O344" s="3">
        <v>22</v>
      </c>
      <c r="P344" s="3">
        <v>1293</v>
      </c>
      <c r="Q344" s="10">
        <f t="shared" ca="1" si="15"/>
        <v>42487</v>
      </c>
      <c r="R344" s="10">
        <f t="shared" ca="1" si="16"/>
        <v>43119</v>
      </c>
      <c r="S344" s="11">
        <f t="shared" ca="1" si="17"/>
        <v>1.7976190476190477</v>
      </c>
      <c r="T344" s="10"/>
    </row>
    <row r="345" spans="2:20" x14ac:dyDescent="0.2">
      <c r="B345" s="5" t="s">
        <v>1805</v>
      </c>
      <c r="C345" s="3">
        <v>15.5</v>
      </c>
      <c r="D345" s="3">
        <v>-0.95</v>
      </c>
      <c r="E345" s="3">
        <v>15.7</v>
      </c>
      <c r="F345" s="3">
        <v>16.2</v>
      </c>
      <c r="G345" s="3">
        <v>3</v>
      </c>
      <c r="H345" s="3">
        <v>1515</v>
      </c>
      <c r="I345" s="3">
        <v>140</v>
      </c>
      <c r="J345" s="5" t="s">
        <v>1806</v>
      </c>
      <c r="K345" s="3">
        <v>17.2</v>
      </c>
      <c r="L345" s="3">
        <v>1.7</v>
      </c>
      <c r="M345" s="3">
        <v>16.55</v>
      </c>
      <c r="N345" s="3">
        <v>16.95</v>
      </c>
      <c r="O345" s="3">
        <v>1</v>
      </c>
      <c r="P345" s="3">
        <v>1850</v>
      </c>
      <c r="Q345" s="10">
        <f t="shared" ca="1" si="15"/>
        <v>42487</v>
      </c>
      <c r="R345" s="10">
        <f t="shared" ca="1" si="16"/>
        <v>43119</v>
      </c>
      <c r="S345" s="11">
        <f t="shared" ca="1" si="17"/>
        <v>1.7976190476190477</v>
      </c>
      <c r="T345" s="10"/>
    </row>
    <row r="346" spans="2:20" x14ac:dyDescent="0.2">
      <c r="B346" s="5" t="s">
        <v>1807</v>
      </c>
      <c r="C346" s="3">
        <v>12.69</v>
      </c>
      <c r="D346" s="3">
        <v>-2.0499999999999998</v>
      </c>
      <c r="E346" s="3">
        <v>13.25</v>
      </c>
      <c r="F346" s="3">
        <v>13.7</v>
      </c>
      <c r="G346" s="3">
        <v>25</v>
      </c>
      <c r="H346" s="3">
        <v>341</v>
      </c>
      <c r="I346" s="3">
        <v>145</v>
      </c>
      <c r="J346" s="5" t="s">
        <v>1808</v>
      </c>
      <c r="K346" s="3">
        <v>17.850000000000001</v>
      </c>
      <c r="L346" s="3">
        <v>0</v>
      </c>
      <c r="M346" s="3">
        <v>19.100000000000001</v>
      </c>
      <c r="N346" s="3">
        <v>19.55</v>
      </c>
      <c r="O346" s="3">
        <v>12</v>
      </c>
      <c r="P346" s="3">
        <v>834</v>
      </c>
      <c r="Q346" s="10">
        <f t="shared" ca="1" si="15"/>
        <v>42487</v>
      </c>
      <c r="R346" s="10">
        <f t="shared" ca="1" si="16"/>
        <v>43119</v>
      </c>
      <c r="S346" s="11">
        <f t="shared" ca="1" si="17"/>
        <v>1.7976190476190477</v>
      </c>
      <c r="T346" s="10"/>
    </row>
    <row r="347" spans="2:20" x14ac:dyDescent="0.2">
      <c r="B347" s="5" t="s">
        <v>1809</v>
      </c>
      <c r="C347" s="3">
        <v>11.1</v>
      </c>
      <c r="D347" s="3">
        <v>-1.38</v>
      </c>
      <c r="E347" s="3">
        <v>11.1</v>
      </c>
      <c r="F347" s="3">
        <v>11.5</v>
      </c>
      <c r="G347" s="3">
        <v>12</v>
      </c>
      <c r="H347" s="3">
        <v>1981</v>
      </c>
      <c r="I347" s="3">
        <v>150</v>
      </c>
      <c r="J347" s="5" t="s">
        <v>1810</v>
      </c>
      <c r="K347" s="3">
        <v>21.35</v>
      </c>
      <c r="L347" s="3">
        <v>0</v>
      </c>
      <c r="M347" s="3">
        <v>22</v>
      </c>
      <c r="N347" s="3">
        <v>22.45</v>
      </c>
      <c r="O347" s="3">
        <v>7</v>
      </c>
      <c r="P347" s="3">
        <v>593</v>
      </c>
      <c r="Q347" s="10">
        <f t="shared" ca="1" si="15"/>
        <v>42487</v>
      </c>
      <c r="R347" s="10">
        <f t="shared" ca="1" si="16"/>
        <v>43119</v>
      </c>
      <c r="S347" s="11">
        <f t="shared" ca="1" si="17"/>
        <v>1.7976190476190477</v>
      </c>
      <c r="T347" s="10"/>
    </row>
    <row r="348" spans="2:20" x14ac:dyDescent="0.2">
      <c r="B348" s="5" t="s">
        <v>1811</v>
      </c>
      <c r="C348" s="3">
        <v>9.2899999999999991</v>
      </c>
      <c r="D348" s="3">
        <v>-0.84</v>
      </c>
      <c r="E348" s="3">
        <v>9.15</v>
      </c>
      <c r="F348" s="3">
        <v>9.5500000000000007</v>
      </c>
      <c r="G348" s="3">
        <v>7</v>
      </c>
      <c r="H348" s="3">
        <v>520</v>
      </c>
      <c r="I348" s="3">
        <v>155</v>
      </c>
      <c r="J348" s="5" t="s">
        <v>1812</v>
      </c>
      <c r="K348" s="3">
        <v>23.85</v>
      </c>
      <c r="L348" s="3">
        <v>0</v>
      </c>
      <c r="M348" s="3">
        <v>25.15</v>
      </c>
      <c r="N348" s="3">
        <v>25.6</v>
      </c>
      <c r="O348" s="3">
        <v>6</v>
      </c>
      <c r="P348" s="3">
        <v>177</v>
      </c>
      <c r="Q348" s="10">
        <f t="shared" ca="1" si="15"/>
        <v>42487</v>
      </c>
      <c r="R348" s="10">
        <f t="shared" ca="1" si="16"/>
        <v>43119</v>
      </c>
      <c r="S348" s="11">
        <f t="shared" ca="1" si="17"/>
        <v>1.7976190476190477</v>
      </c>
      <c r="T348" s="10"/>
    </row>
    <row r="349" spans="2:20" x14ac:dyDescent="0.2">
      <c r="B349" s="5" t="s">
        <v>1813</v>
      </c>
      <c r="C349" s="3">
        <v>7.65</v>
      </c>
      <c r="D349" s="3">
        <v>-1.5</v>
      </c>
      <c r="E349" s="3">
        <v>7.55</v>
      </c>
      <c r="F349" s="3">
        <v>7.9</v>
      </c>
      <c r="G349" s="3">
        <v>2</v>
      </c>
      <c r="H349" s="3">
        <v>3809</v>
      </c>
      <c r="I349" s="3">
        <v>160</v>
      </c>
      <c r="J349" s="5" t="s">
        <v>1814</v>
      </c>
      <c r="K349" s="3">
        <v>26.35</v>
      </c>
      <c r="L349" s="3">
        <v>0</v>
      </c>
      <c r="M349" s="3">
        <v>28.5</v>
      </c>
      <c r="N349" s="3">
        <v>28.95</v>
      </c>
      <c r="O349" s="3">
        <v>3</v>
      </c>
      <c r="P349" s="3">
        <v>192</v>
      </c>
      <c r="Q349" s="10">
        <f t="shared" ca="1" si="15"/>
        <v>42487</v>
      </c>
      <c r="R349" s="10">
        <f t="shared" ca="1" si="16"/>
        <v>43119</v>
      </c>
      <c r="S349" s="11">
        <f t="shared" ca="1" si="17"/>
        <v>1.7976190476190477</v>
      </c>
      <c r="T349" s="10"/>
    </row>
    <row r="350" spans="2:20" x14ac:dyDescent="0.2">
      <c r="B350" s="5" t="s">
        <v>1815</v>
      </c>
      <c r="C350" s="3">
        <v>6.98</v>
      </c>
      <c r="D350" s="3">
        <v>0</v>
      </c>
      <c r="E350" s="3">
        <v>6.15</v>
      </c>
      <c r="F350" s="3">
        <v>6.5</v>
      </c>
      <c r="G350" s="3">
        <v>5</v>
      </c>
      <c r="H350" s="3">
        <v>513</v>
      </c>
      <c r="I350" s="3">
        <v>165</v>
      </c>
      <c r="J350" s="5" t="s">
        <v>1816</v>
      </c>
      <c r="K350" s="3">
        <v>29.4</v>
      </c>
      <c r="L350" s="3">
        <v>0</v>
      </c>
      <c r="M350" s="3">
        <v>32.1</v>
      </c>
      <c r="N350" s="3">
        <v>32.549999999999997</v>
      </c>
      <c r="O350" s="3">
        <v>1</v>
      </c>
      <c r="P350" s="3">
        <v>198</v>
      </c>
      <c r="Q350" s="10">
        <f t="shared" ca="1" si="15"/>
        <v>42487</v>
      </c>
      <c r="R350" s="10">
        <f t="shared" ca="1" si="16"/>
        <v>43119</v>
      </c>
      <c r="S350" s="11">
        <f t="shared" ca="1" si="17"/>
        <v>1.7976190476190477</v>
      </c>
      <c r="T350" s="10"/>
    </row>
    <row r="351" spans="2:20" x14ac:dyDescent="0.2">
      <c r="B351" s="5" t="s">
        <v>1817</v>
      </c>
      <c r="C351" s="3">
        <v>4.9000000000000004</v>
      </c>
      <c r="D351" s="3">
        <v>-0.88</v>
      </c>
      <c r="E351" s="3">
        <v>4.95</v>
      </c>
      <c r="F351" s="3">
        <v>5.3</v>
      </c>
      <c r="G351" s="3">
        <v>10</v>
      </c>
      <c r="H351" s="3">
        <v>632</v>
      </c>
      <c r="I351" s="3">
        <v>170</v>
      </c>
      <c r="J351" s="5" t="s">
        <v>1818</v>
      </c>
      <c r="K351" s="3">
        <v>33.5</v>
      </c>
      <c r="L351" s="3">
        <v>0</v>
      </c>
      <c r="M351" s="3">
        <v>35.9</v>
      </c>
      <c r="N351" s="3">
        <v>36.450000000000003</v>
      </c>
      <c r="O351" s="3">
        <v>2</v>
      </c>
      <c r="P351" s="3">
        <v>1260</v>
      </c>
      <c r="Q351" s="10">
        <f t="shared" ca="1" si="15"/>
        <v>42487</v>
      </c>
      <c r="R351" s="10">
        <f t="shared" ca="1" si="16"/>
        <v>43119</v>
      </c>
      <c r="S351" s="11">
        <f t="shared" ca="1" si="17"/>
        <v>1.7976190476190477</v>
      </c>
      <c r="T351" s="10"/>
    </row>
    <row r="352" spans="2:20" x14ac:dyDescent="0.2">
      <c r="B352" s="5" t="s">
        <v>1819</v>
      </c>
      <c r="C352" s="3">
        <v>4</v>
      </c>
      <c r="D352" s="3">
        <v>-0.7</v>
      </c>
      <c r="E352" s="3">
        <v>3.95</v>
      </c>
      <c r="F352" s="3">
        <v>4.25</v>
      </c>
      <c r="G352" s="3">
        <v>1</v>
      </c>
      <c r="H352" s="3">
        <v>368</v>
      </c>
      <c r="I352" s="3">
        <v>175</v>
      </c>
      <c r="J352" s="5" t="s">
        <v>1820</v>
      </c>
      <c r="K352" s="3">
        <v>37.950000000000003</v>
      </c>
      <c r="L352" s="3">
        <v>-0.15</v>
      </c>
      <c r="M352" s="3">
        <v>36.75</v>
      </c>
      <c r="N352" s="3">
        <v>38.1</v>
      </c>
      <c r="O352" s="3">
        <v>1</v>
      </c>
      <c r="P352" s="3">
        <v>87</v>
      </c>
      <c r="Q352" s="10">
        <f t="shared" ca="1" si="15"/>
        <v>42487</v>
      </c>
      <c r="R352" s="10">
        <f t="shared" ca="1" si="16"/>
        <v>43119</v>
      </c>
      <c r="S352" s="11">
        <f t="shared" ca="1" si="17"/>
        <v>1.7976190476190477</v>
      </c>
      <c r="T352" s="10"/>
    </row>
    <row r="353" spans="2:20" x14ac:dyDescent="0.2">
      <c r="B353" s="5" t="s">
        <v>1821</v>
      </c>
      <c r="C353" s="3">
        <v>3.24</v>
      </c>
      <c r="D353" s="3">
        <v>-0.26</v>
      </c>
      <c r="E353" s="3">
        <v>3.15</v>
      </c>
      <c r="F353" s="3">
        <v>3.5</v>
      </c>
      <c r="G353" s="3">
        <v>15</v>
      </c>
      <c r="H353" s="3">
        <v>394</v>
      </c>
      <c r="I353" s="3">
        <v>180</v>
      </c>
      <c r="J353" s="5" t="s">
        <v>1822</v>
      </c>
      <c r="K353" s="3">
        <v>40</v>
      </c>
      <c r="L353" s="3">
        <v>-1.1200000000000001</v>
      </c>
      <c r="M353" s="3">
        <v>39.549999999999997</v>
      </c>
      <c r="N353" s="3">
        <v>40.9</v>
      </c>
      <c r="O353" s="3">
        <v>1</v>
      </c>
      <c r="P353" s="3">
        <v>88</v>
      </c>
      <c r="Q353" s="10">
        <f t="shared" ca="1" si="15"/>
        <v>42487</v>
      </c>
      <c r="R353" s="10">
        <f t="shared" ca="1" si="16"/>
        <v>43119</v>
      </c>
      <c r="S353" s="11">
        <f t="shared" ca="1" si="17"/>
        <v>1.7976190476190477</v>
      </c>
      <c r="T353" s="10"/>
    </row>
    <row r="354" spans="2:20" x14ac:dyDescent="0.2">
      <c r="B354" s="5" t="s">
        <v>1823</v>
      </c>
      <c r="C354" s="3">
        <v>2.62</v>
      </c>
      <c r="D354" s="3">
        <v>-0.48</v>
      </c>
      <c r="E354" s="3">
        <v>2.52</v>
      </c>
      <c r="F354" s="3">
        <v>2.8</v>
      </c>
      <c r="G354" s="3">
        <v>17</v>
      </c>
      <c r="H354" s="3">
        <v>165</v>
      </c>
      <c r="I354" s="3">
        <v>185</v>
      </c>
      <c r="J354" s="5" t="s">
        <v>1824</v>
      </c>
      <c r="K354" s="3">
        <v>44.4</v>
      </c>
      <c r="L354" s="3">
        <v>-5.6</v>
      </c>
      <c r="M354" s="3">
        <v>45.5</v>
      </c>
      <c r="N354" s="3">
        <v>47.15</v>
      </c>
      <c r="O354" s="3">
        <v>1</v>
      </c>
      <c r="P354" s="3">
        <v>130</v>
      </c>
      <c r="Q354" s="10">
        <f t="shared" ca="1" si="15"/>
        <v>42487</v>
      </c>
      <c r="R354" s="10">
        <f t="shared" ca="1" si="16"/>
        <v>43119</v>
      </c>
      <c r="S354" s="11">
        <f t="shared" ca="1" si="17"/>
        <v>1.7976190476190477</v>
      </c>
      <c r="T354" s="10"/>
    </row>
    <row r="355" spans="2:20" x14ac:dyDescent="0.2">
      <c r="B355" s="5" t="s">
        <v>1825</v>
      </c>
      <c r="C355" s="3">
        <v>2.33</v>
      </c>
      <c r="D355" s="3">
        <v>-0.02</v>
      </c>
      <c r="E355" s="3">
        <v>2.2799999999999998</v>
      </c>
      <c r="F355" s="3">
        <v>2.5099999999999998</v>
      </c>
      <c r="G355" s="3">
        <v>10</v>
      </c>
      <c r="H355" s="3">
        <v>375</v>
      </c>
      <c r="I355" s="3">
        <v>190</v>
      </c>
      <c r="J355" s="5" t="s">
        <v>1826</v>
      </c>
      <c r="K355" s="3">
        <v>59.64</v>
      </c>
      <c r="L355" s="3">
        <v>0</v>
      </c>
      <c r="M355" s="3">
        <v>48</v>
      </c>
      <c r="N355" s="3">
        <v>51.3</v>
      </c>
      <c r="O355" s="3">
        <v>0</v>
      </c>
      <c r="P355" s="3">
        <v>157</v>
      </c>
      <c r="Q355" s="10">
        <f t="shared" ca="1" si="15"/>
        <v>42487</v>
      </c>
      <c r="R355" s="10">
        <f t="shared" ca="1" si="16"/>
        <v>43119</v>
      </c>
      <c r="S355" s="11">
        <f t="shared" ca="1" si="17"/>
        <v>1.7976190476190477</v>
      </c>
      <c r="T355" s="10"/>
    </row>
    <row r="356" spans="2:20" x14ac:dyDescent="0.2">
      <c r="B356" s="5" t="s">
        <v>1827</v>
      </c>
      <c r="C356" s="3">
        <v>1.76</v>
      </c>
      <c r="D356" s="3">
        <v>0</v>
      </c>
      <c r="E356" s="3">
        <v>1.54</v>
      </c>
      <c r="F356" s="3">
        <v>1.76</v>
      </c>
      <c r="G356" s="3">
        <v>1</v>
      </c>
      <c r="H356" s="3">
        <v>231</v>
      </c>
      <c r="I356" s="3">
        <v>195</v>
      </c>
      <c r="J356" s="5" t="s">
        <v>1828</v>
      </c>
      <c r="K356" s="3">
        <v>51.57</v>
      </c>
      <c r="L356" s="3">
        <v>-0.43</v>
      </c>
      <c r="M356" s="3">
        <v>51.1</v>
      </c>
      <c r="N356" s="3">
        <v>53.45</v>
      </c>
      <c r="O356" s="3">
        <v>237</v>
      </c>
      <c r="P356" s="3">
        <v>97</v>
      </c>
      <c r="Q356" s="10">
        <f t="shared" ca="1" si="15"/>
        <v>42487</v>
      </c>
      <c r="R356" s="10">
        <f t="shared" ca="1" si="16"/>
        <v>43119</v>
      </c>
      <c r="S356" s="11">
        <f t="shared" ca="1" si="17"/>
        <v>1.7976190476190477</v>
      </c>
      <c r="T356" s="10"/>
    </row>
    <row r="357" spans="2:20" x14ac:dyDescent="0.2">
      <c r="B357" s="5" t="s">
        <v>1829</v>
      </c>
      <c r="C357" s="3">
        <v>1.2</v>
      </c>
      <c r="D357" s="3">
        <v>-0.45</v>
      </c>
      <c r="E357" s="3">
        <v>1.2</v>
      </c>
      <c r="F357" s="3">
        <v>1.43</v>
      </c>
      <c r="G357" s="3">
        <v>800</v>
      </c>
      <c r="H357" s="3">
        <v>7443</v>
      </c>
      <c r="I357" s="3">
        <v>200</v>
      </c>
      <c r="J357" s="5" t="s">
        <v>1830</v>
      </c>
      <c r="K357" s="3">
        <v>59.21</v>
      </c>
      <c r="L357" s="3">
        <v>0</v>
      </c>
      <c r="M357" s="3">
        <v>54.65</v>
      </c>
      <c r="N357" s="3">
        <v>58.4</v>
      </c>
      <c r="O357" s="3">
        <v>2</v>
      </c>
      <c r="P357" s="3">
        <v>333</v>
      </c>
      <c r="Q357" s="10">
        <f t="shared" ca="1" si="15"/>
        <v>42487</v>
      </c>
      <c r="R357" s="10">
        <f t="shared" ca="1" si="16"/>
        <v>43119</v>
      </c>
      <c r="S357" s="11">
        <f t="shared" ca="1" si="17"/>
        <v>1.7976190476190477</v>
      </c>
      <c r="T357" s="10"/>
    </row>
    <row r="358" spans="2:20" x14ac:dyDescent="0.2">
      <c r="B358" s="5" t="s">
        <v>1831</v>
      </c>
      <c r="C358" s="3">
        <v>0.9</v>
      </c>
      <c r="D358" s="3">
        <v>0</v>
      </c>
      <c r="E358" s="3">
        <v>0.82</v>
      </c>
      <c r="F358" s="3">
        <v>1.04</v>
      </c>
      <c r="G358" s="3">
        <v>2</v>
      </c>
      <c r="H358" s="3">
        <v>1301</v>
      </c>
      <c r="I358" s="3">
        <v>210</v>
      </c>
      <c r="J358" s="5" t="s">
        <v>1832</v>
      </c>
      <c r="K358" s="3">
        <v>73.45</v>
      </c>
      <c r="L358" s="3">
        <v>0</v>
      </c>
      <c r="M358" s="3">
        <v>66.599999999999994</v>
      </c>
      <c r="N358" s="3">
        <v>71</v>
      </c>
      <c r="O358" s="3">
        <v>1</v>
      </c>
      <c r="P358" s="3">
        <v>1008</v>
      </c>
      <c r="Q358" s="10">
        <f t="shared" ca="1" si="15"/>
        <v>42487</v>
      </c>
      <c r="R358" s="10">
        <f t="shared" ca="1" si="16"/>
        <v>43119</v>
      </c>
      <c r="S358" s="11">
        <f t="shared" ca="1" si="17"/>
        <v>1.7976190476190477</v>
      </c>
      <c r="T358" s="10"/>
    </row>
    <row r="359" spans="2:20" x14ac:dyDescent="0.2">
      <c r="B359" s="5" t="s">
        <v>1833</v>
      </c>
      <c r="C359" s="3">
        <v>0.6</v>
      </c>
      <c r="D359" s="3">
        <v>0</v>
      </c>
      <c r="E359" s="3">
        <v>0.42</v>
      </c>
      <c r="F359" s="3">
        <v>0.69</v>
      </c>
      <c r="G359" s="3">
        <v>100</v>
      </c>
      <c r="H359" s="3">
        <v>2316</v>
      </c>
      <c r="I359" s="3">
        <v>220</v>
      </c>
      <c r="J359" s="5" t="s">
        <v>1834</v>
      </c>
      <c r="K359" s="3">
        <v>78.5</v>
      </c>
      <c r="L359" s="3">
        <v>-23.1</v>
      </c>
      <c r="M359" s="3">
        <v>75.55</v>
      </c>
      <c r="N359" s="3">
        <v>80.5</v>
      </c>
      <c r="O359" s="3">
        <v>1</v>
      </c>
      <c r="P359" s="3">
        <v>9</v>
      </c>
      <c r="Q359" s="10">
        <f t="shared" ca="1" si="15"/>
        <v>42487</v>
      </c>
      <c r="R359" s="10">
        <f t="shared" ca="1" si="16"/>
        <v>43119</v>
      </c>
      <c r="S359" s="11">
        <f t="shared" ca="1" si="17"/>
        <v>1.7976190476190477</v>
      </c>
      <c r="T359" s="10"/>
    </row>
    <row r="360" spans="2:20" x14ac:dyDescent="0.2">
      <c r="Q360" s="10"/>
      <c r="R360" s="10"/>
      <c r="S360" s="11"/>
      <c r="T360" s="10"/>
    </row>
    <row r="361" spans="2:20" x14ac:dyDescent="0.2">
      <c r="Q361" s="10"/>
      <c r="R361" s="10"/>
      <c r="S361" s="11"/>
      <c r="T361" s="10"/>
    </row>
    <row r="362" spans="2:20" x14ac:dyDescent="0.2">
      <c r="Q362" s="10"/>
      <c r="R362" s="10"/>
      <c r="S362" s="11"/>
      <c r="T362" s="10"/>
    </row>
    <row r="363" spans="2:20" x14ac:dyDescent="0.2">
      <c r="Q363" s="10"/>
      <c r="R363" s="10"/>
      <c r="S363" s="11"/>
      <c r="T363" s="10"/>
    </row>
    <row r="364" spans="2:20" x14ac:dyDescent="0.2">
      <c r="Q364" s="10"/>
      <c r="R364" s="10"/>
      <c r="S364" s="11"/>
      <c r="T364" s="10"/>
    </row>
    <row r="365" spans="2:20" x14ac:dyDescent="0.2">
      <c r="Q365" s="10"/>
      <c r="R365" s="10"/>
      <c r="S365" s="11"/>
      <c r="T365" s="10"/>
    </row>
    <row r="366" spans="2:20" x14ac:dyDescent="0.2">
      <c r="Q366" s="10"/>
      <c r="R366" s="10"/>
      <c r="S366" s="11"/>
      <c r="T366" s="10"/>
    </row>
    <row r="367" spans="2:20" x14ac:dyDescent="0.2">
      <c r="Q367" s="10"/>
      <c r="R367" s="10"/>
      <c r="S367" s="11"/>
      <c r="T367" s="10"/>
    </row>
    <row r="368" spans="2:20" x14ac:dyDescent="0.2">
      <c r="Q368" s="10"/>
      <c r="R368" s="10"/>
      <c r="S368" s="11"/>
      <c r="T368" s="10"/>
    </row>
    <row r="369" spans="17:20" x14ac:dyDescent="0.2">
      <c r="Q369" s="10"/>
      <c r="R369" s="10"/>
      <c r="S369" s="11"/>
      <c r="T369" s="10"/>
    </row>
    <row r="370" spans="17:20" x14ac:dyDescent="0.2">
      <c r="Q370" s="10"/>
      <c r="R370" s="10"/>
      <c r="S370" s="11"/>
      <c r="T370" s="10"/>
    </row>
    <row r="371" spans="17:20" x14ac:dyDescent="0.2">
      <c r="Q371" s="10"/>
      <c r="R371" s="10"/>
      <c r="S371" s="11"/>
      <c r="T371" s="10"/>
    </row>
    <row r="372" spans="17:20" x14ac:dyDescent="0.2">
      <c r="Q372" s="10"/>
      <c r="R372" s="10"/>
      <c r="S372" s="11"/>
      <c r="T372" s="10"/>
    </row>
    <row r="373" spans="17:20" x14ac:dyDescent="0.2">
      <c r="Q373" s="10"/>
      <c r="R373" s="10"/>
      <c r="S373" s="11"/>
      <c r="T373" s="10"/>
    </row>
    <row r="374" spans="17:20" x14ac:dyDescent="0.2">
      <c r="Q374" s="10"/>
      <c r="R374" s="10"/>
      <c r="S374" s="11"/>
      <c r="T374" s="10"/>
    </row>
    <row r="375" spans="17:20" x14ac:dyDescent="0.2">
      <c r="Q375" s="10"/>
      <c r="R375" s="10"/>
      <c r="S375" s="11"/>
      <c r="T375" s="10"/>
    </row>
    <row r="376" spans="17:20" x14ac:dyDescent="0.2">
      <c r="Q376" s="10"/>
      <c r="R376" s="10"/>
      <c r="S376" s="11"/>
      <c r="T376" s="10"/>
    </row>
    <row r="377" spans="17:20" x14ac:dyDescent="0.2">
      <c r="Q377" s="10"/>
      <c r="R377" s="10"/>
      <c r="S377" s="11"/>
      <c r="T377" s="10"/>
    </row>
    <row r="378" spans="17:20" x14ac:dyDescent="0.2">
      <c r="Q378" s="10"/>
      <c r="R378" s="10"/>
      <c r="S378" s="11"/>
      <c r="T378" s="10"/>
    </row>
    <row r="379" spans="17:20" x14ac:dyDescent="0.2">
      <c r="Q379" s="10"/>
      <c r="R379" s="10"/>
      <c r="S379" s="11"/>
      <c r="T379" s="10"/>
    </row>
    <row r="380" spans="17:20" x14ac:dyDescent="0.2">
      <c r="Q380" s="10"/>
      <c r="R380" s="10"/>
      <c r="S380" s="11"/>
      <c r="T380" s="10"/>
    </row>
    <row r="381" spans="17:20" x14ac:dyDescent="0.2">
      <c r="Q381" s="10"/>
      <c r="R381" s="10"/>
      <c r="S381" s="11"/>
      <c r="T381" s="10"/>
    </row>
    <row r="382" spans="17:20" x14ac:dyDescent="0.2">
      <c r="Q382" s="10"/>
      <c r="R382" s="10"/>
      <c r="S382" s="11"/>
      <c r="T382" s="10"/>
    </row>
    <row r="383" spans="17:20" x14ac:dyDescent="0.2">
      <c r="Q383" s="10"/>
      <c r="R383" s="10"/>
      <c r="S383" s="11"/>
      <c r="T383" s="10"/>
    </row>
    <row r="384" spans="17:20" x14ac:dyDescent="0.2">
      <c r="Q384" s="10"/>
      <c r="R384" s="10"/>
      <c r="S384" s="11"/>
      <c r="T384" s="10"/>
    </row>
    <row r="385" spans="17:20" x14ac:dyDescent="0.2">
      <c r="Q385" s="10"/>
      <c r="R385" s="10"/>
      <c r="S385" s="11"/>
      <c r="T385" s="10"/>
    </row>
    <row r="386" spans="17:20" x14ac:dyDescent="0.2">
      <c r="Q386" s="10"/>
      <c r="R386" s="10"/>
      <c r="S386" s="11"/>
      <c r="T386" s="10"/>
    </row>
    <row r="387" spans="17:20" x14ac:dyDescent="0.2">
      <c r="Q387" s="10"/>
      <c r="R387" s="10"/>
      <c r="S387" s="11"/>
      <c r="T387" s="10"/>
    </row>
    <row r="388" spans="17:20" x14ac:dyDescent="0.2">
      <c r="Q388" s="10"/>
      <c r="R388" s="10"/>
      <c r="S388" s="11"/>
      <c r="T388" s="10"/>
    </row>
    <row r="389" spans="17:20" x14ac:dyDescent="0.2">
      <c r="Q389" s="10"/>
      <c r="R389" s="10"/>
      <c r="S389" s="11"/>
      <c r="T389" s="10"/>
    </row>
    <row r="390" spans="17:20" x14ac:dyDescent="0.2">
      <c r="Q390" s="10"/>
      <c r="R390" s="10"/>
      <c r="S390" s="11"/>
      <c r="T390" s="10"/>
    </row>
    <row r="391" spans="17:20" x14ac:dyDescent="0.2">
      <c r="Q391" s="10"/>
      <c r="R391" s="10"/>
      <c r="S391" s="11"/>
      <c r="T391" s="10"/>
    </row>
    <row r="392" spans="17:20" x14ac:dyDescent="0.2">
      <c r="Q392" s="10"/>
      <c r="R392" s="10"/>
      <c r="S392" s="11"/>
    </row>
    <row r="393" spans="17:20" x14ac:dyDescent="0.2">
      <c r="Q393" s="10"/>
      <c r="R393" s="10"/>
      <c r="S393" s="11"/>
    </row>
    <row r="394" spans="17:20" x14ac:dyDescent="0.2">
      <c r="Q394" s="10"/>
      <c r="R394" s="10"/>
      <c r="S394" s="11"/>
    </row>
    <row r="395" spans="17:20" x14ac:dyDescent="0.2">
      <c r="Q395" s="10"/>
      <c r="R395" s="10"/>
      <c r="S395" s="11"/>
    </row>
    <row r="396" spans="17:20" x14ac:dyDescent="0.2">
      <c r="Q396" s="10"/>
      <c r="R396" s="10"/>
      <c r="S396" s="11"/>
    </row>
    <row r="397" spans="17:20" x14ac:dyDescent="0.2">
      <c r="Q397" s="10"/>
      <c r="R397" s="10"/>
      <c r="S397" s="11"/>
    </row>
    <row r="398" spans="17:20" x14ac:dyDescent="0.2">
      <c r="Q398" s="10"/>
      <c r="R398" s="10"/>
      <c r="S398" s="11"/>
    </row>
    <row r="399" spans="17:20" x14ac:dyDescent="0.2">
      <c r="Q399" s="10"/>
      <c r="R399" s="10"/>
      <c r="S399" s="11"/>
    </row>
    <row r="400" spans="17:20" x14ac:dyDescent="0.2">
      <c r="Q400" s="10"/>
      <c r="R400" s="10"/>
      <c r="S400" s="11"/>
    </row>
    <row r="401" spans="17:19" x14ac:dyDescent="0.2">
      <c r="Q401" s="10"/>
      <c r="R401" s="10"/>
      <c r="S401" s="11"/>
    </row>
    <row r="402" spans="17:19" x14ac:dyDescent="0.2">
      <c r="Q402" s="10"/>
      <c r="R402" s="10"/>
      <c r="S402" s="11"/>
    </row>
    <row r="403" spans="17:19" x14ac:dyDescent="0.2">
      <c r="Q403" s="10"/>
      <c r="R403" s="10"/>
      <c r="S403" s="11"/>
    </row>
    <row r="404" spans="17:19" x14ac:dyDescent="0.2">
      <c r="Q404" s="10"/>
      <c r="R404" s="10"/>
      <c r="S404" s="11"/>
    </row>
    <row r="405" spans="17:19" x14ac:dyDescent="0.2">
      <c r="Q405" s="10"/>
      <c r="R405" s="10"/>
      <c r="S405" s="11"/>
    </row>
    <row r="406" spans="17:19" x14ac:dyDescent="0.2">
      <c r="Q406" s="10"/>
      <c r="R406" s="10"/>
      <c r="S406" s="11"/>
    </row>
    <row r="407" spans="17:19" x14ac:dyDescent="0.2">
      <c r="Q407" s="10"/>
      <c r="R407" s="10"/>
      <c r="S407" s="11"/>
    </row>
    <row r="408" spans="17:19" x14ac:dyDescent="0.2">
      <c r="Q408" s="10"/>
      <c r="R408" s="10"/>
      <c r="S408" s="11"/>
    </row>
    <row r="409" spans="17:19" x14ac:dyDescent="0.2">
      <c r="Q409" s="10"/>
      <c r="R409" s="10"/>
      <c r="S409" s="11"/>
    </row>
    <row r="410" spans="17:19" x14ac:dyDescent="0.2">
      <c r="Q410" s="10"/>
      <c r="R410" s="10"/>
      <c r="S410" s="11"/>
    </row>
    <row r="411" spans="17:19" x14ac:dyDescent="0.2">
      <c r="Q411" s="10"/>
      <c r="R411" s="10"/>
      <c r="S411" s="11"/>
    </row>
    <row r="412" spans="17:19" x14ac:dyDescent="0.2">
      <c r="Q412" s="10"/>
      <c r="R412" s="10"/>
      <c r="S412" s="11"/>
    </row>
    <row r="413" spans="17:19" x14ac:dyDescent="0.2">
      <c r="Q413" s="10"/>
      <c r="R413" s="10"/>
      <c r="S413" s="11"/>
    </row>
    <row r="414" spans="17:19" x14ac:dyDescent="0.2">
      <c r="Q414" s="10"/>
      <c r="R414" s="10"/>
      <c r="S414" s="11"/>
    </row>
    <row r="415" spans="17:19" x14ac:dyDescent="0.2">
      <c r="Q415" s="10"/>
      <c r="R415" s="10"/>
      <c r="S415" s="11"/>
    </row>
    <row r="416" spans="17:19" x14ac:dyDescent="0.2">
      <c r="Q416" s="10"/>
      <c r="R416" s="10"/>
      <c r="S416" s="11"/>
    </row>
    <row r="417" spans="17:19" x14ac:dyDescent="0.2">
      <c r="Q417" s="10"/>
      <c r="R417" s="10"/>
      <c r="S417" s="11"/>
    </row>
    <row r="418" spans="17:19" x14ac:dyDescent="0.2">
      <c r="Q418" s="10"/>
      <c r="R418" s="10"/>
      <c r="S418" s="11"/>
    </row>
    <row r="419" spans="17:19" x14ac:dyDescent="0.2">
      <c r="Q419" s="10"/>
      <c r="R419" s="10"/>
      <c r="S419" s="11"/>
    </row>
    <row r="420" spans="17:19" x14ac:dyDescent="0.2">
      <c r="Q420" s="10"/>
      <c r="R420" s="10"/>
      <c r="S420" s="11"/>
    </row>
    <row r="421" spans="17:19" x14ac:dyDescent="0.2">
      <c r="Q421" s="10"/>
      <c r="R421" s="10"/>
      <c r="S421" s="11"/>
    </row>
    <row r="422" spans="17:19" x14ac:dyDescent="0.2">
      <c r="Q422" s="10"/>
      <c r="R422" s="10"/>
      <c r="S422" s="11"/>
    </row>
    <row r="423" spans="17:19" x14ac:dyDescent="0.2">
      <c r="Q423" s="10"/>
      <c r="R423" s="10"/>
      <c r="S423" s="11"/>
    </row>
    <row r="424" spans="17:19" x14ac:dyDescent="0.2">
      <c r="Q424" s="10"/>
      <c r="R424" s="10"/>
      <c r="S424" s="11"/>
    </row>
    <row r="425" spans="17:19" x14ac:dyDescent="0.2">
      <c r="Q425" s="10"/>
      <c r="R425" s="10"/>
      <c r="S425" s="11"/>
    </row>
    <row r="426" spans="17:19" x14ac:dyDescent="0.2">
      <c r="Q426" s="10"/>
      <c r="R426" s="10"/>
      <c r="S426" s="11"/>
    </row>
    <row r="427" spans="17:19" x14ac:dyDescent="0.2">
      <c r="Q427" s="10"/>
      <c r="R427" s="10"/>
      <c r="S427" s="11"/>
    </row>
    <row r="428" spans="17:19" x14ac:dyDescent="0.2">
      <c r="Q428" s="10"/>
      <c r="R428" s="10"/>
      <c r="S428" s="11"/>
    </row>
    <row r="429" spans="17:19" x14ac:dyDescent="0.2">
      <c r="Q429" s="10"/>
      <c r="R429" s="10"/>
      <c r="S429" s="11"/>
    </row>
    <row r="430" spans="17:19" x14ac:dyDescent="0.2">
      <c r="Q430" s="10"/>
      <c r="R430" s="10"/>
      <c r="S430" s="11"/>
    </row>
    <row r="431" spans="17:19" x14ac:dyDescent="0.2">
      <c r="Q431" s="10"/>
      <c r="R431" s="10"/>
      <c r="S431" s="11"/>
    </row>
    <row r="432" spans="17:19" x14ac:dyDescent="0.2">
      <c r="Q432" s="10"/>
      <c r="R432" s="10"/>
      <c r="S432" s="11"/>
    </row>
    <row r="433" spans="17:19" x14ac:dyDescent="0.2">
      <c r="Q433" s="10"/>
      <c r="R433" s="10"/>
      <c r="S433" s="11"/>
    </row>
    <row r="434" spans="17:19" x14ac:dyDescent="0.2">
      <c r="Q434" s="10"/>
      <c r="R434" s="10"/>
      <c r="S434" s="11"/>
    </row>
    <row r="435" spans="17:19" x14ac:dyDescent="0.2">
      <c r="Q435" s="10"/>
      <c r="R435" s="10"/>
      <c r="S435" s="11"/>
    </row>
    <row r="436" spans="17:19" x14ac:dyDescent="0.2">
      <c r="Q436" s="10"/>
      <c r="R436" s="10"/>
      <c r="S436" s="11"/>
    </row>
    <row r="437" spans="17:19" x14ac:dyDescent="0.2">
      <c r="Q437" s="10"/>
      <c r="R437" s="10"/>
      <c r="S437" s="11"/>
    </row>
    <row r="438" spans="17:19" x14ac:dyDescent="0.2">
      <c r="Q438" s="10"/>
      <c r="R438" s="10"/>
      <c r="S438" s="11"/>
    </row>
    <row r="439" spans="17:19" x14ac:dyDescent="0.2">
      <c r="Q439" s="10"/>
      <c r="R439" s="10"/>
      <c r="S439" s="11"/>
    </row>
    <row r="440" spans="17:19" x14ac:dyDescent="0.2">
      <c r="Q440" s="10"/>
      <c r="R440" s="10"/>
      <c r="S440" s="11"/>
    </row>
    <row r="441" spans="17:19" x14ac:dyDescent="0.2">
      <c r="Q441" s="10"/>
      <c r="R441" s="10"/>
      <c r="S441" s="11"/>
    </row>
    <row r="442" spans="17:19" x14ac:dyDescent="0.2">
      <c r="Q442" s="10"/>
      <c r="R442" s="10"/>
      <c r="S442" s="11"/>
    </row>
    <row r="443" spans="17:19" x14ac:dyDescent="0.2">
      <c r="Q443" s="10"/>
      <c r="R443" s="10"/>
      <c r="S443" s="11"/>
    </row>
    <row r="444" spans="17:19" x14ac:dyDescent="0.2">
      <c r="Q444" s="10"/>
      <c r="R444" s="10"/>
      <c r="S444" s="11"/>
    </row>
    <row r="445" spans="17:19" x14ac:dyDescent="0.2">
      <c r="Q445" s="10"/>
      <c r="R445" s="10"/>
      <c r="S445" s="11"/>
    </row>
    <row r="446" spans="17:19" x14ac:dyDescent="0.2">
      <c r="Q446" s="10"/>
      <c r="R446" s="10"/>
      <c r="S446" s="11"/>
    </row>
    <row r="447" spans="17:19" x14ac:dyDescent="0.2">
      <c r="Q447" s="10"/>
      <c r="R447" s="10"/>
      <c r="S447" s="11"/>
    </row>
    <row r="448" spans="17:19" x14ac:dyDescent="0.2">
      <c r="Q448" s="10"/>
      <c r="R448" s="10"/>
      <c r="S448" s="11"/>
    </row>
    <row r="449" spans="17:19" x14ac:dyDescent="0.2">
      <c r="Q449" s="10"/>
      <c r="R449" s="10"/>
      <c r="S449" s="11"/>
    </row>
    <row r="450" spans="17:19" x14ac:dyDescent="0.2">
      <c r="Q450" s="10"/>
      <c r="R450" s="10"/>
      <c r="S450" s="11"/>
    </row>
    <row r="451" spans="17:19" x14ac:dyDescent="0.2">
      <c r="Q451" s="10"/>
      <c r="R451" s="10"/>
      <c r="S451" s="11"/>
    </row>
    <row r="452" spans="17:19" x14ac:dyDescent="0.2">
      <c r="Q452" s="10"/>
      <c r="R452" s="10"/>
      <c r="S452" s="11"/>
    </row>
    <row r="453" spans="17:19" x14ac:dyDescent="0.2">
      <c r="Q453" s="10"/>
      <c r="R453" s="10"/>
      <c r="S453" s="11"/>
    </row>
    <row r="454" spans="17:19" x14ac:dyDescent="0.2">
      <c r="Q454" s="10"/>
      <c r="R454" s="10"/>
      <c r="S454" s="11"/>
    </row>
    <row r="455" spans="17:19" x14ac:dyDescent="0.2">
      <c r="Q455" s="10"/>
      <c r="R455" s="10"/>
      <c r="S455" s="11"/>
    </row>
    <row r="456" spans="17:19" x14ac:dyDescent="0.2">
      <c r="Q456" s="10"/>
      <c r="R456" s="10"/>
      <c r="S456" s="11"/>
    </row>
    <row r="457" spans="17:19" x14ac:dyDescent="0.2">
      <c r="Q457" s="10"/>
      <c r="R457" s="10"/>
      <c r="S457" s="11"/>
    </row>
    <row r="458" spans="17:19" x14ac:dyDescent="0.2">
      <c r="Q458" s="10"/>
      <c r="R458" s="10"/>
      <c r="S458" s="11"/>
    </row>
    <row r="459" spans="17:19" x14ac:dyDescent="0.2">
      <c r="Q459" s="10"/>
      <c r="R459" s="10"/>
      <c r="S459" s="11"/>
    </row>
    <row r="460" spans="17:19" x14ac:dyDescent="0.2">
      <c r="Q460" s="10"/>
      <c r="R460" s="10"/>
      <c r="S460" s="11"/>
    </row>
    <row r="461" spans="17:19" x14ac:dyDescent="0.2">
      <c r="Q461" s="10"/>
      <c r="R461" s="10"/>
      <c r="S461" s="11"/>
    </row>
    <row r="462" spans="17:19" x14ac:dyDescent="0.2">
      <c r="Q462" s="10"/>
      <c r="R462" s="10"/>
      <c r="S462" s="11"/>
    </row>
    <row r="463" spans="17:19" x14ac:dyDescent="0.2">
      <c r="Q463" s="10"/>
      <c r="R463" s="10"/>
      <c r="S463" s="11"/>
    </row>
    <row r="464" spans="17:19" x14ac:dyDescent="0.2">
      <c r="Q464" s="10"/>
      <c r="R464" s="10"/>
      <c r="S464" s="11"/>
    </row>
    <row r="465" spans="17:19" x14ac:dyDescent="0.2">
      <c r="Q465" s="10"/>
      <c r="R465" s="10"/>
      <c r="S465" s="11"/>
    </row>
    <row r="466" spans="17:19" x14ac:dyDescent="0.2">
      <c r="Q466" s="10"/>
      <c r="R466" s="10"/>
      <c r="S466" s="11"/>
    </row>
    <row r="467" spans="17:19" x14ac:dyDescent="0.2">
      <c r="Q467" s="10"/>
      <c r="R467" s="10"/>
      <c r="S467" s="11"/>
    </row>
    <row r="468" spans="17:19" x14ac:dyDescent="0.2">
      <c r="Q468" s="10"/>
      <c r="R468" s="10"/>
      <c r="S468" s="11"/>
    </row>
    <row r="469" spans="17:19" x14ac:dyDescent="0.2">
      <c r="Q469" s="10"/>
      <c r="R469" s="10"/>
      <c r="S469" s="11"/>
    </row>
    <row r="470" spans="17:19" x14ac:dyDescent="0.2">
      <c r="Q470" s="10"/>
      <c r="R470" s="10"/>
      <c r="S470" s="11"/>
    </row>
    <row r="471" spans="17:19" x14ac:dyDescent="0.2">
      <c r="Q471" s="10"/>
      <c r="R471" s="10"/>
      <c r="S471" s="11"/>
    </row>
    <row r="472" spans="17:19" x14ac:dyDescent="0.2">
      <c r="Q472" s="10"/>
      <c r="R472" s="10"/>
      <c r="S472" s="11"/>
    </row>
    <row r="473" spans="17:19" x14ac:dyDescent="0.2">
      <c r="Q473" s="10"/>
      <c r="R473" s="10"/>
      <c r="S473" s="11"/>
    </row>
    <row r="474" spans="17:19" x14ac:dyDescent="0.2">
      <c r="Q474" s="10"/>
      <c r="R474" s="10"/>
      <c r="S474" s="11"/>
    </row>
    <row r="475" spans="17:19" x14ac:dyDescent="0.2">
      <c r="Q475" s="10"/>
      <c r="R475" s="10"/>
      <c r="S475" s="11"/>
    </row>
    <row r="476" spans="17:19" x14ac:dyDescent="0.2">
      <c r="Q476" s="10"/>
      <c r="R476" s="10"/>
      <c r="S476" s="11"/>
    </row>
    <row r="477" spans="17:19" x14ac:dyDescent="0.2">
      <c r="Q477" s="10"/>
      <c r="R477" s="10"/>
      <c r="S477" s="11"/>
    </row>
    <row r="478" spans="17:19" x14ac:dyDescent="0.2">
      <c r="Q478" s="10"/>
      <c r="R478" s="10"/>
      <c r="S478" s="11"/>
    </row>
    <row r="479" spans="17:19" x14ac:dyDescent="0.2">
      <c r="Q479" s="10"/>
      <c r="R479" s="10"/>
      <c r="S479" s="11"/>
    </row>
    <row r="480" spans="17:19" x14ac:dyDescent="0.2">
      <c r="Q480" s="10"/>
      <c r="R480" s="10"/>
      <c r="S480" s="11"/>
    </row>
    <row r="481" spans="17:19" x14ac:dyDescent="0.2">
      <c r="Q481" s="10"/>
      <c r="R481" s="10"/>
      <c r="S481" s="11"/>
    </row>
    <row r="482" spans="17:19" x14ac:dyDescent="0.2">
      <c r="Q482" s="10"/>
      <c r="R482" s="10"/>
      <c r="S482" s="11"/>
    </row>
    <row r="483" spans="17:19" x14ac:dyDescent="0.2">
      <c r="Q483" s="10"/>
      <c r="R483" s="10"/>
      <c r="S483" s="11"/>
    </row>
    <row r="484" spans="17:19" x14ac:dyDescent="0.2">
      <c r="Q484" s="10"/>
      <c r="R484" s="10"/>
      <c r="S484" s="11"/>
    </row>
    <row r="485" spans="17:19" x14ac:dyDescent="0.2">
      <c r="Q485" s="10"/>
      <c r="R485" s="10"/>
      <c r="S485" s="11"/>
    </row>
    <row r="486" spans="17:19" x14ac:dyDescent="0.2">
      <c r="Q486" s="10"/>
      <c r="R486" s="10"/>
      <c r="S486" s="11"/>
    </row>
    <row r="487" spans="17:19" x14ac:dyDescent="0.2">
      <c r="Q487" s="10"/>
      <c r="R487" s="10"/>
      <c r="S487" s="11"/>
    </row>
    <row r="488" spans="17:19" x14ac:dyDescent="0.2">
      <c r="Q488" s="10"/>
      <c r="R488" s="10"/>
      <c r="S488" s="11"/>
    </row>
    <row r="489" spans="17:19" x14ac:dyDescent="0.2">
      <c r="Q489" s="10"/>
      <c r="R489" s="10"/>
      <c r="S489" s="11"/>
    </row>
    <row r="490" spans="17:19" x14ac:dyDescent="0.2">
      <c r="Q490" s="10"/>
      <c r="R490" s="10"/>
      <c r="S490" s="11"/>
    </row>
    <row r="491" spans="17:19" x14ac:dyDescent="0.2">
      <c r="Q491" s="10"/>
      <c r="R491" s="10"/>
      <c r="S491" s="11"/>
    </row>
    <row r="492" spans="17:19" x14ac:dyDescent="0.2">
      <c r="Q492" s="10"/>
      <c r="R492" s="10"/>
      <c r="S492" s="11"/>
    </row>
    <row r="493" spans="17:19" x14ac:dyDescent="0.2">
      <c r="Q493" s="10"/>
      <c r="R493" s="10"/>
      <c r="S493" s="11"/>
    </row>
    <row r="494" spans="17:19" x14ac:dyDescent="0.2">
      <c r="Q494" s="10"/>
      <c r="R494" s="10"/>
      <c r="S494" s="11"/>
    </row>
    <row r="495" spans="17:19" x14ac:dyDescent="0.2">
      <c r="Q495" s="10"/>
      <c r="R495" s="10"/>
      <c r="S495" s="11"/>
    </row>
    <row r="496" spans="17:19" x14ac:dyDescent="0.2">
      <c r="Q496" s="10"/>
      <c r="R496" s="10"/>
      <c r="S496" s="11"/>
    </row>
    <row r="497" spans="17:19" x14ac:dyDescent="0.2">
      <c r="Q497" s="10"/>
      <c r="R497" s="10"/>
      <c r="S497" s="11"/>
    </row>
    <row r="498" spans="17:19" x14ac:dyDescent="0.2">
      <c r="Q498" s="10"/>
      <c r="R498" s="10"/>
      <c r="S498" s="11"/>
    </row>
    <row r="499" spans="17:19" x14ac:dyDescent="0.2">
      <c r="Q499" s="10"/>
      <c r="R499" s="10"/>
      <c r="S499" s="11"/>
    </row>
    <row r="500" spans="17:19" x14ac:dyDescent="0.2">
      <c r="Q500" s="10"/>
      <c r="R500" s="10"/>
      <c r="S500" s="11"/>
    </row>
    <row r="501" spans="17:19" x14ac:dyDescent="0.2">
      <c r="Q501" s="10"/>
      <c r="R501" s="10"/>
      <c r="S501" s="11"/>
    </row>
    <row r="502" spans="17:19" x14ac:dyDescent="0.2">
      <c r="Q502" s="10"/>
      <c r="R502" s="10"/>
      <c r="S502" s="11"/>
    </row>
    <row r="503" spans="17:19" x14ac:dyDescent="0.2">
      <c r="Q503" s="10"/>
      <c r="R503" s="10"/>
      <c r="S503" s="11"/>
    </row>
    <row r="504" spans="17:19" x14ac:dyDescent="0.2">
      <c r="Q504" s="10"/>
      <c r="R504" s="10"/>
      <c r="S504" s="11"/>
    </row>
    <row r="505" spans="17:19" x14ac:dyDescent="0.2">
      <c r="Q505" s="10"/>
      <c r="R505" s="10"/>
      <c r="S505" s="11"/>
    </row>
    <row r="506" spans="17:19" x14ac:dyDescent="0.2">
      <c r="Q506" s="10"/>
      <c r="R506" s="10"/>
      <c r="S506" s="11"/>
    </row>
    <row r="507" spans="17:19" x14ac:dyDescent="0.2">
      <c r="Q507" s="10"/>
      <c r="R507" s="10"/>
      <c r="S507" s="11"/>
    </row>
    <row r="508" spans="17:19" x14ac:dyDescent="0.2">
      <c r="Q508" s="10"/>
      <c r="R508" s="10"/>
      <c r="S508" s="11"/>
    </row>
    <row r="509" spans="17:19" x14ac:dyDescent="0.2">
      <c r="Q509" s="10"/>
      <c r="R509" s="10"/>
      <c r="S509" s="11"/>
    </row>
    <row r="510" spans="17:19" x14ac:dyDescent="0.2">
      <c r="Q510" s="10"/>
      <c r="R510" s="10"/>
      <c r="S510" s="11"/>
    </row>
    <row r="511" spans="17:19" x14ac:dyDescent="0.2">
      <c r="Q511" s="10"/>
      <c r="R511" s="10"/>
      <c r="S511" s="11"/>
    </row>
    <row r="512" spans="17:19" x14ac:dyDescent="0.2">
      <c r="Q512" s="10"/>
      <c r="R512" s="10"/>
      <c r="S512" s="11"/>
    </row>
    <row r="513" spans="17:19" x14ac:dyDescent="0.2">
      <c r="Q513" s="10"/>
      <c r="R513" s="10"/>
      <c r="S513" s="11"/>
    </row>
    <row r="514" spans="17:19" x14ac:dyDescent="0.2">
      <c r="Q514" s="10"/>
      <c r="R514" s="10"/>
      <c r="S514" s="11"/>
    </row>
    <row r="515" spans="17:19" x14ac:dyDescent="0.2">
      <c r="Q515" s="10"/>
      <c r="R515" s="10"/>
      <c r="S515" s="11"/>
    </row>
    <row r="516" spans="17:19" x14ac:dyDescent="0.2">
      <c r="Q516" s="10"/>
      <c r="R516" s="10"/>
      <c r="S516" s="11"/>
    </row>
    <row r="517" spans="17:19" x14ac:dyDescent="0.2">
      <c r="Q517" s="10"/>
      <c r="R517" s="10"/>
      <c r="S517" s="11"/>
    </row>
    <row r="518" spans="17:19" x14ac:dyDescent="0.2">
      <c r="Q518" s="10"/>
      <c r="R518" s="10"/>
      <c r="S518" s="11"/>
    </row>
    <row r="519" spans="17:19" x14ac:dyDescent="0.2">
      <c r="Q519" s="10"/>
      <c r="R519" s="10"/>
      <c r="S519" s="11"/>
    </row>
    <row r="520" spans="17:19" x14ac:dyDescent="0.2">
      <c r="Q520" s="10"/>
      <c r="R520" s="10"/>
      <c r="S520" s="11"/>
    </row>
    <row r="521" spans="17:19" x14ac:dyDescent="0.2">
      <c r="Q521" s="10"/>
      <c r="R521" s="10"/>
      <c r="S521" s="11"/>
    </row>
    <row r="522" spans="17:19" x14ac:dyDescent="0.2">
      <c r="Q522" s="10"/>
      <c r="R522" s="10"/>
      <c r="S522" s="11"/>
    </row>
    <row r="523" spans="17:19" x14ac:dyDescent="0.2">
      <c r="Q523" s="10"/>
      <c r="R523" s="10"/>
      <c r="S523" s="11"/>
    </row>
    <row r="524" spans="17:19" x14ac:dyDescent="0.2">
      <c r="Q524" s="10"/>
      <c r="R524" s="10"/>
      <c r="S524" s="11"/>
    </row>
    <row r="525" spans="17:19" x14ac:dyDescent="0.2">
      <c r="Q525" s="10"/>
      <c r="R525" s="10"/>
      <c r="S525" s="11"/>
    </row>
    <row r="526" spans="17:19" x14ac:dyDescent="0.2">
      <c r="Q526" s="10"/>
      <c r="R526" s="10"/>
      <c r="S526" s="11"/>
    </row>
    <row r="527" spans="17:19" x14ac:dyDescent="0.2">
      <c r="Q527" s="10"/>
      <c r="R527" s="10"/>
      <c r="S527" s="11"/>
    </row>
    <row r="528" spans="17:19" x14ac:dyDescent="0.2">
      <c r="Q528" s="10"/>
      <c r="R528" s="10"/>
      <c r="S528" s="11"/>
    </row>
    <row r="529" spans="17:19" x14ac:dyDescent="0.2">
      <c r="Q529" s="10"/>
      <c r="R529" s="10"/>
      <c r="S529" s="11"/>
    </row>
    <row r="530" spans="17:19" x14ac:dyDescent="0.2">
      <c r="Q530" s="10"/>
      <c r="R530" s="10"/>
      <c r="S530" s="11"/>
    </row>
    <row r="531" spans="17:19" x14ac:dyDescent="0.2">
      <c r="Q531" s="10"/>
      <c r="R531" s="10"/>
      <c r="S531" s="11"/>
    </row>
    <row r="532" spans="17:19" x14ac:dyDescent="0.2">
      <c r="Q532" s="10"/>
      <c r="R532" s="10"/>
      <c r="S532" s="11"/>
    </row>
    <row r="533" spans="17:19" x14ac:dyDescent="0.2">
      <c r="Q533" s="10"/>
      <c r="R533" s="10"/>
      <c r="S533" s="11"/>
    </row>
    <row r="534" spans="17:19" x14ac:dyDescent="0.2">
      <c r="Q534" s="10"/>
      <c r="R534" s="10"/>
      <c r="S534" s="11"/>
    </row>
    <row r="535" spans="17:19" x14ac:dyDescent="0.2">
      <c r="Q535" s="10"/>
      <c r="R535" s="10"/>
      <c r="S535" s="11"/>
    </row>
    <row r="536" spans="17:19" x14ac:dyDescent="0.2">
      <c r="Q536" s="10"/>
      <c r="R536" s="10"/>
      <c r="S536" s="11"/>
    </row>
    <row r="537" spans="17:19" x14ac:dyDescent="0.2">
      <c r="Q537" s="10"/>
      <c r="R537" s="10"/>
      <c r="S537" s="11"/>
    </row>
    <row r="538" spans="17:19" x14ac:dyDescent="0.2">
      <c r="Q538" s="10"/>
      <c r="R538" s="10"/>
      <c r="S538" s="11"/>
    </row>
    <row r="539" spans="17:19" x14ac:dyDescent="0.2">
      <c r="Q539" s="10"/>
      <c r="R539" s="10"/>
      <c r="S539" s="11"/>
    </row>
    <row r="540" spans="17:19" x14ac:dyDescent="0.2">
      <c r="Q540" s="10"/>
      <c r="R540" s="10"/>
      <c r="S540" s="11"/>
    </row>
    <row r="541" spans="17:19" x14ac:dyDescent="0.2">
      <c r="Q541" s="10"/>
      <c r="R541" s="10"/>
      <c r="S541" s="11"/>
    </row>
    <row r="542" spans="17:19" x14ac:dyDescent="0.2">
      <c r="Q542" s="10"/>
      <c r="R542" s="10"/>
      <c r="S542" s="11"/>
    </row>
    <row r="543" spans="17:19" x14ac:dyDescent="0.2">
      <c r="Q543" s="10"/>
      <c r="R543" s="10"/>
      <c r="S543" s="11"/>
    </row>
    <row r="544" spans="17:19" x14ac:dyDescent="0.2">
      <c r="Q544" s="10"/>
      <c r="R544" s="10"/>
      <c r="S544" s="11"/>
    </row>
    <row r="545" spans="17:19" x14ac:dyDescent="0.2">
      <c r="Q545" s="10"/>
      <c r="R545" s="10"/>
      <c r="S545" s="11"/>
    </row>
    <row r="546" spans="17:19" x14ac:dyDescent="0.2">
      <c r="Q546" s="10"/>
      <c r="R546" s="10"/>
      <c r="S546" s="11"/>
    </row>
    <row r="547" spans="17:19" x14ac:dyDescent="0.2">
      <c r="Q547" s="10"/>
      <c r="R547" s="10"/>
      <c r="S547" s="11"/>
    </row>
    <row r="548" spans="17:19" x14ac:dyDescent="0.2">
      <c r="Q548" s="10"/>
      <c r="R548" s="10"/>
      <c r="S548" s="11"/>
    </row>
    <row r="549" spans="17:19" x14ac:dyDescent="0.2">
      <c r="Q549" s="10"/>
      <c r="R549" s="10"/>
      <c r="S549" s="11"/>
    </row>
    <row r="550" spans="17:19" x14ac:dyDescent="0.2">
      <c r="Q550" s="10"/>
      <c r="R550" s="10"/>
      <c r="S550" s="11"/>
    </row>
    <row r="551" spans="17:19" x14ac:dyDescent="0.2">
      <c r="Q551" s="10"/>
      <c r="R551" s="10"/>
      <c r="S551" s="11"/>
    </row>
    <row r="552" spans="17:19" x14ac:dyDescent="0.2">
      <c r="Q552" s="10"/>
      <c r="R552" s="10"/>
      <c r="S552" s="11"/>
    </row>
    <row r="553" spans="17:19" x14ac:dyDescent="0.2">
      <c r="Q553" s="10"/>
      <c r="R553" s="10"/>
      <c r="S553" s="11"/>
    </row>
    <row r="554" spans="17:19" x14ac:dyDescent="0.2">
      <c r="Q554" s="10"/>
      <c r="R554" s="10"/>
      <c r="S554" s="11"/>
    </row>
    <row r="555" spans="17:19" x14ac:dyDescent="0.2">
      <c r="Q555" s="10"/>
      <c r="R555" s="10"/>
      <c r="S555" s="11"/>
    </row>
    <row r="556" spans="17:19" x14ac:dyDescent="0.2">
      <c r="Q556" s="10"/>
      <c r="R556" s="10"/>
      <c r="S556" s="11"/>
    </row>
    <row r="557" spans="17:19" x14ac:dyDescent="0.2">
      <c r="Q557" s="10"/>
      <c r="R557" s="10"/>
      <c r="S557" s="11"/>
    </row>
    <row r="558" spans="17:19" x14ac:dyDescent="0.2">
      <c r="Q558" s="10"/>
      <c r="R558" s="10"/>
      <c r="S558" s="11"/>
    </row>
    <row r="559" spans="17:19" x14ac:dyDescent="0.2">
      <c r="Q559" s="10"/>
      <c r="R559" s="10"/>
      <c r="S559" s="11"/>
    </row>
    <row r="560" spans="17:19" x14ac:dyDescent="0.2">
      <c r="Q560" s="10"/>
      <c r="R560" s="10"/>
      <c r="S560" s="11"/>
    </row>
    <row r="561" spans="17:19" x14ac:dyDescent="0.2">
      <c r="Q561" s="10"/>
      <c r="R561" s="10"/>
      <c r="S561" s="11"/>
    </row>
    <row r="562" spans="17:19" x14ac:dyDescent="0.2">
      <c r="Q562" s="10"/>
      <c r="R562" s="10"/>
      <c r="S562" s="11"/>
    </row>
    <row r="563" spans="17:19" x14ac:dyDescent="0.2">
      <c r="Q563" s="10"/>
      <c r="R563" s="10"/>
      <c r="S563" s="11"/>
    </row>
    <row r="564" spans="17:19" x14ac:dyDescent="0.2">
      <c r="Q564" s="10"/>
      <c r="R564" s="10"/>
      <c r="S564" s="11"/>
    </row>
    <row r="565" spans="17:19" x14ac:dyDescent="0.2">
      <c r="Q565" s="10"/>
      <c r="R565" s="10"/>
      <c r="S565" s="11"/>
    </row>
    <row r="566" spans="17:19" x14ac:dyDescent="0.2">
      <c r="Q566" s="10"/>
      <c r="R566" s="10"/>
      <c r="S566" s="11"/>
    </row>
    <row r="567" spans="17:19" x14ac:dyDescent="0.2">
      <c r="Q567" s="10"/>
      <c r="R567" s="10"/>
      <c r="S567" s="11"/>
    </row>
    <row r="568" spans="17:19" x14ac:dyDescent="0.2">
      <c r="Q568" s="10"/>
      <c r="R568" s="10"/>
      <c r="S568" s="11"/>
    </row>
    <row r="569" spans="17:19" x14ac:dyDescent="0.2">
      <c r="Q569" s="10"/>
      <c r="R569" s="10"/>
      <c r="S569" s="11"/>
    </row>
    <row r="570" spans="17:19" x14ac:dyDescent="0.2">
      <c r="Q570" s="10"/>
      <c r="R570" s="10"/>
      <c r="S570" s="11"/>
    </row>
    <row r="571" spans="17:19" x14ac:dyDescent="0.2">
      <c r="Q571" s="10"/>
      <c r="R571" s="10"/>
      <c r="S571" s="11"/>
    </row>
    <row r="572" spans="17:19" x14ac:dyDescent="0.2">
      <c r="Q572" s="10"/>
      <c r="R572" s="10"/>
      <c r="S572" s="11"/>
    </row>
    <row r="573" spans="17:19" x14ac:dyDescent="0.2">
      <c r="Q573" s="10"/>
      <c r="R573" s="10"/>
      <c r="S573" s="11"/>
    </row>
    <row r="574" spans="17:19" x14ac:dyDescent="0.2">
      <c r="Q574" s="10"/>
      <c r="R574" s="10"/>
      <c r="S574" s="11"/>
    </row>
    <row r="575" spans="17:19" x14ac:dyDescent="0.2">
      <c r="Q575" s="10"/>
      <c r="R575" s="10"/>
      <c r="S575" s="11"/>
    </row>
    <row r="576" spans="17:19" x14ac:dyDescent="0.2">
      <c r="Q576" s="10"/>
      <c r="R576" s="10"/>
      <c r="S576" s="11"/>
    </row>
    <row r="577" spans="17:19" x14ac:dyDescent="0.2">
      <c r="Q577" s="10"/>
      <c r="R577" s="10"/>
      <c r="S577" s="11"/>
    </row>
    <row r="578" spans="17:19" x14ac:dyDescent="0.2">
      <c r="Q578" s="10"/>
      <c r="R578" s="10"/>
      <c r="S578" s="11"/>
    </row>
    <row r="579" spans="17:19" x14ac:dyDescent="0.2">
      <c r="Q579" s="10"/>
      <c r="R579" s="10"/>
      <c r="S579" s="11"/>
    </row>
    <row r="580" spans="17:19" x14ac:dyDescent="0.2">
      <c r="Q580" s="10"/>
      <c r="R580" s="10"/>
      <c r="S580" s="11"/>
    </row>
    <row r="581" spans="17:19" x14ac:dyDescent="0.2">
      <c r="Q581" s="10"/>
      <c r="R581" s="10"/>
      <c r="S581" s="11"/>
    </row>
    <row r="582" spans="17:19" x14ac:dyDescent="0.2">
      <c r="Q582" s="10"/>
      <c r="R582" s="10"/>
      <c r="S582" s="11"/>
    </row>
    <row r="583" spans="17:19" x14ac:dyDescent="0.2">
      <c r="Q583" s="10"/>
      <c r="R583" s="10"/>
      <c r="S583" s="11"/>
    </row>
    <row r="584" spans="17:19" x14ac:dyDescent="0.2">
      <c r="Q584" s="10"/>
      <c r="R584" s="10"/>
      <c r="S584" s="11"/>
    </row>
    <row r="585" spans="17:19" x14ac:dyDescent="0.2">
      <c r="Q585" s="10"/>
      <c r="R585" s="10"/>
      <c r="S585" s="11"/>
    </row>
    <row r="586" spans="17:19" x14ac:dyDescent="0.2">
      <c r="Q586" s="10"/>
      <c r="R586" s="10"/>
      <c r="S586" s="11"/>
    </row>
    <row r="587" spans="17:19" x14ac:dyDescent="0.2">
      <c r="Q587" s="10"/>
      <c r="R587" s="10"/>
      <c r="S587" s="11"/>
    </row>
    <row r="588" spans="17:19" x14ac:dyDescent="0.2">
      <c r="Q588" s="10"/>
      <c r="R588" s="10"/>
      <c r="S588" s="11"/>
    </row>
    <row r="589" spans="17:19" x14ac:dyDescent="0.2">
      <c r="Q589" s="10"/>
      <c r="R589" s="10"/>
      <c r="S589" s="11"/>
    </row>
    <row r="590" spans="17:19" x14ac:dyDescent="0.2">
      <c r="Q590" s="10"/>
      <c r="R590" s="10"/>
      <c r="S590" s="11"/>
    </row>
    <row r="591" spans="17:19" x14ac:dyDescent="0.2">
      <c r="Q591" s="10"/>
      <c r="R591" s="10"/>
      <c r="S591" s="11"/>
    </row>
    <row r="592" spans="17:19" x14ac:dyDescent="0.2">
      <c r="Q592" s="10"/>
      <c r="R592" s="10"/>
      <c r="S592" s="11"/>
    </row>
    <row r="593" spans="17:19" x14ac:dyDescent="0.2">
      <c r="Q593" s="10"/>
      <c r="R593" s="10"/>
      <c r="S593" s="11"/>
    </row>
    <row r="594" spans="17:19" x14ac:dyDescent="0.2">
      <c r="Q594" s="10"/>
      <c r="R594" s="10"/>
      <c r="S594" s="11"/>
    </row>
    <row r="595" spans="17:19" x14ac:dyDescent="0.2">
      <c r="Q595" s="10"/>
      <c r="R595" s="10"/>
      <c r="S595" s="11"/>
    </row>
    <row r="596" spans="17:19" x14ac:dyDescent="0.2">
      <c r="Q596" s="10"/>
      <c r="R596" s="10"/>
      <c r="S596" s="11"/>
    </row>
    <row r="597" spans="17:19" x14ac:dyDescent="0.2">
      <c r="Q597" s="10"/>
      <c r="R597" s="10"/>
      <c r="S597" s="11"/>
    </row>
    <row r="598" spans="17:19" x14ac:dyDescent="0.2">
      <c r="Q598" s="10"/>
      <c r="R598" s="10"/>
      <c r="S598" s="11"/>
    </row>
    <row r="599" spans="17:19" x14ac:dyDescent="0.2">
      <c r="Q599" s="10"/>
      <c r="R599" s="10"/>
      <c r="S599" s="11"/>
    </row>
    <row r="600" spans="17:19" x14ac:dyDescent="0.2">
      <c r="Q600" s="10"/>
      <c r="R600" s="10"/>
      <c r="S600" s="11"/>
    </row>
    <row r="601" spans="17:19" x14ac:dyDescent="0.2">
      <c r="Q601" s="10"/>
      <c r="R601" s="10"/>
      <c r="S601" s="11"/>
    </row>
    <row r="602" spans="17:19" x14ac:dyDescent="0.2">
      <c r="Q602" s="10"/>
      <c r="R602" s="10"/>
      <c r="S602" s="11"/>
    </row>
    <row r="603" spans="17:19" x14ac:dyDescent="0.2">
      <c r="Q603" s="10"/>
      <c r="R603" s="10"/>
      <c r="S603" s="11"/>
    </row>
    <row r="604" spans="17:19" x14ac:dyDescent="0.2">
      <c r="Q604" s="10"/>
      <c r="R604" s="10"/>
      <c r="S604" s="11"/>
    </row>
    <row r="605" spans="17:19" x14ac:dyDescent="0.2">
      <c r="Q605" s="10"/>
      <c r="R605" s="10"/>
      <c r="S605" s="11"/>
    </row>
    <row r="606" spans="17:19" x14ac:dyDescent="0.2">
      <c r="Q606" s="10"/>
      <c r="R606" s="10"/>
      <c r="S606" s="11"/>
    </row>
    <row r="607" spans="17:19" x14ac:dyDescent="0.2">
      <c r="Q607" s="10"/>
      <c r="R607" s="10"/>
      <c r="S607" s="11"/>
    </row>
    <row r="608" spans="17:19" x14ac:dyDescent="0.2">
      <c r="Q608" s="10"/>
      <c r="R608" s="10"/>
      <c r="S608" s="11"/>
    </row>
    <row r="609" spans="17:19" x14ac:dyDescent="0.2">
      <c r="Q609" s="10"/>
      <c r="R609" s="10"/>
      <c r="S609" s="11"/>
    </row>
    <row r="610" spans="17:19" x14ac:dyDescent="0.2">
      <c r="Q610" s="10"/>
      <c r="R610" s="10"/>
      <c r="S610" s="11"/>
    </row>
    <row r="611" spans="17:19" x14ac:dyDescent="0.2">
      <c r="Q611" s="10"/>
      <c r="R611" s="10"/>
      <c r="S611" s="11"/>
    </row>
    <row r="612" spans="17:19" x14ac:dyDescent="0.2">
      <c r="Q612" s="10"/>
      <c r="R612" s="10"/>
      <c r="S612" s="11"/>
    </row>
    <row r="613" spans="17:19" x14ac:dyDescent="0.2">
      <c r="Q613" s="10"/>
      <c r="R613" s="10"/>
      <c r="S613" s="11"/>
    </row>
    <row r="614" spans="17:19" x14ac:dyDescent="0.2">
      <c r="Q614" s="10"/>
      <c r="R614" s="10"/>
      <c r="S614" s="11"/>
    </row>
    <row r="615" spans="17:19" x14ac:dyDescent="0.2">
      <c r="Q615" s="10"/>
      <c r="R615" s="10"/>
      <c r="S615" s="11"/>
    </row>
    <row r="616" spans="17:19" x14ac:dyDescent="0.2">
      <c r="Q616" s="10"/>
      <c r="R616" s="10"/>
      <c r="S616" s="11"/>
    </row>
    <row r="617" spans="17:19" x14ac:dyDescent="0.2">
      <c r="Q617" s="10"/>
      <c r="R617" s="10"/>
      <c r="S617" s="11"/>
    </row>
    <row r="618" spans="17:19" x14ac:dyDescent="0.2">
      <c r="Q618" s="10"/>
      <c r="R618" s="10"/>
      <c r="S618" s="11"/>
    </row>
    <row r="619" spans="17:19" x14ac:dyDescent="0.2">
      <c r="Q619" s="10"/>
      <c r="R619" s="10"/>
      <c r="S619" s="11"/>
    </row>
    <row r="620" spans="17:19" x14ac:dyDescent="0.2">
      <c r="Q620" s="10"/>
      <c r="R620" s="10"/>
      <c r="S620" s="11"/>
    </row>
    <row r="621" spans="17:19" x14ac:dyDescent="0.2">
      <c r="Q621" s="10"/>
      <c r="R621" s="10"/>
      <c r="S621" s="11"/>
    </row>
    <row r="622" spans="17:19" x14ac:dyDescent="0.2">
      <c r="Q622" s="10"/>
      <c r="R622" s="10"/>
      <c r="S622" s="11"/>
    </row>
    <row r="623" spans="17:19" x14ac:dyDescent="0.2">
      <c r="Q623" s="10"/>
      <c r="R623" s="10"/>
      <c r="S623" s="11"/>
    </row>
    <row r="624" spans="17:19" x14ac:dyDescent="0.2">
      <c r="Q624" s="10"/>
      <c r="R624" s="10"/>
      <c r="S624" s="11"/>
    </row>
    <row r="625" spans="17:19" x14ac:dyDescent="0.2">
      <c r="Q625" s="10"/>
      <c r="R625" s="10"/>
      <c r="S625" s="11"/>
    </row>
    <row r="626" spans="17:19" x14ac:dyDescent="0.2">
      <c r="Q626" s="10"/>
      <c r="R626" s="10"/>
      <c r="S626" s="11"/>
    </row>
    <row r="627" spans="17:19" x14ac:dyDescent="0.2">
      <c r="Q627" s="10"/>
      <c r="R627" s="10"/>
      <c r="S627" s="11"/>
    </row>
    <row r="628" spans="17:19" x14ac:dyDescent="0.2">
      <c r="Q628" s="10"/>
      <c r="R628" s="10"/>
      <c r="S628" s="11"/>
    </row>
    <row r="629" spans="17:19" x14ac:dyDescent="0.2">
      <c r="Q629" s="10"/>
      <c r="R629" s="10"/>
      <c r="S629" s="11"/>
    </row>
    <row r="630" spans="17:19" x14ac:dyDescent="0.2">
      <c r="Q630" s="10"/>
      <c r="R630" s="10"/>
      <c r="S630" s="11"/>
    </row>
    <row r="631" spans="17:19" x14ac:dyDescent="0.2">
      <c r="Q631" s="10"/>
      <c r="R631" s="10"/>
      <c r="S631" s="11"/>
    </row>
    <row r="632" spans="17:19" x14ac:dyDescent="0.2">
      <c r="Q632" s="10"/>
      <c r="R632" s="10"/>
      <c r="S632" s="11"/>
    </row>
    <row r="633" spans="17:19" x14ac:dyDescent="0.2">
      <c r="Q633" s="10"/>
      <c r="R633" s="10"/>
      <c r="S633" s="11"/>
    </row>
    <row r="634" spans="17:19" x14ac:dyDescent="0.2">
      <c r="Q634" s="10"/>
      <c r="R634" s="10"/>
      <c r="S634" s="11"/>
    </row>
    <row r="635" spans="17:19" x14ac:dyDescent="0.2">
      <c r="Q635" s="10"/>
      <c r="R635" s="10"/>
      <c r="S635" s="11"/>
    </row>
    <row r="636" spans="17:19" x14ac:dyDescent="0.2">
      <c r="Q636" s="10"/>
      <c r="R636" s="10"/>
      <c r="S636" s="11"/>
    </row>
    <row r="637" spans="17:19" x14ac:dyDescent="0.2">
      <c r="Q637" s="10"/>
      <c r="R637" s="10"/>
      <c r="S637" s="11"/>
    </row>
    <row r="638" spans="17:19" x14ac:dyDescent="0.2">
      <c r="Q638" s="10"/>
      <c r="R638" s="10"/>
      <c r="S638" s="11"/>
    </row>
    <row r="639" spans="17:19" x14ac:dyDescent="0.2">
      <c r="Q639" s="10"/>
      <c r="R639" s="10"/>
      <c r="S639" s="11"/>
    </row>
    <row r="640" spans="17:19" x14ac:dyDescent="0.2">
      <c r="Q640" s="10"/>
      <c r="R640" s="10"/>
      <c r="S640" s="11"/>
    </row>
    <row r="641" spans="17:19" x14ac:dyDescent="0.2">
      <c r="Q641" s="10"/>
      <c r="R641" s="10"/>
      <c r="S641" s="11"/>
    </row>
    <row r="642" spans="17:19" x14ac:dyDescent="0.2">
      <c r="Q642" s="10"/>
      <c r="R642" s="10"/>
      <c r="S642" s="11"/>
    </row>
    <row r="643" spans="17:19" x14ac:dyDescent="0.2">
      <c r="Q643" s="10"/>
      <c r="R643" s="10"/>
      <c r="S643" s="11"/>
    </row>
    <row r="644" spans="17:19" x14ac:dyDescent="0.2">
      <c r="Q644" s="10"/>
      <c r="R644" s="10"/>
      <c r="S644" s="11"/>
    </row>
    <row r="645" spans="17:19" x14ac:dyDescent="0.2">
      <c r="Q645" s="10"/>
      <c r="R645" s="10"/>
      <c r="S645" s="11"/>
    </row>
    <row r="646" spans="17:19" x14ac:dyDescent="0.2">
      <c r="Q646" s="10"/>
      <c r="R646" s="10"/>
      <c r="S646" s="11"/>
    </row>
    <row r="647" spans="17:19" x14ac:dyDescent="0.2">
      <c r="Q647" s="10"/>
      <c r="R647" s="10"/>
      <c r="S647" s="11"/>
    </row>
    <row r="648" spans="17:19" x14ac:dyDescent="0.2">
      <c r="Q648" s="10"/>
      <c r="R648" s="10"/>
      <c r="S648" s="11"/>
    </row>
    <row r="649" spans="17:19" x14ac:dyDescent="0.2">
      <c r="Q649" s="10"/>
      <c r="R649" s="10"/>
      <c r="S649" s="11"/>
    </row>
    <row r="650" spans="17:19" x14ac:dyDescent="0.2">
      <c r="Q650" s="10"/>
      <c r="R650" s="10"/>
      <c r="S650" s="11"/>
    </row>
    <row r="651" spans="17:19" x14ac:dyDescent="0.2">
      <c r="Q651" s="10"/>
      <c r="R651" s="10"/>
      <c r="S651" s="11"/>
    </row>
    <row r="652" spans="17:19" x14ac:dyDescent="0.2">
      <c r="Q652" s="10"/>
      <c r="R652" s="10"/>
      <c r="S652" s="11"/>
    </row>
    <row r="653" spans="17:19" x14ac:dyDescent="0.2">
      <c r="Q653" s="10"/>
      <c r="R653" s="10"/>
      <c r="S653" s="11"/>
    </row>
    <row r="654" spans="17:19" x14ac:dyDescent="0.2">
      <c r="Q654" s="10"/>
      <c r="R654" s="10"/>
      <c r="S654" s="11"/>
    </row>
    <row r="655" spans="17:19" x14ac:dyDescent="0.2">
      <c r="Q655" s="10"/>
      <c r="R655" s="10"/>
      <c r="S655" s="11"/>
    </row>
    <row r="656" spans="17:19" x14ac:dyDescent="0.2">
      <c r="Q656" s="10"/>
      <c r="R656" s="10"/>
      <c r="S656" s="11"/>
    </row>
    <row r="657" spans="17:19" x14ac:dyDescent="0.2">
      <c r="Q657" s="10"/>
      <c r="R657" s="10"/>
      <c r="S657" s="11"/>
    </row>
    <row r="658" spans="17:19" x14ac:dyDescent="0.2">
      <c r="Q658" s="10"/>
      <c r="R658" s="10"/>
      <c r="S658" s="11"/>
    </row>
    <row r="659" spans="17:19" x14ac:dyDescent="0.2">
      <c r="Q659" s="10"/>
      <c r="R659" s="10"/>
      <c r="S659" s="11"/>
    </row>
    <row r="660" spans="17:19" x14ac:dyDescent="0.2">
      <c r="Q660" s="10"/>
      <c r="R660" s="10"/>
      <c r="S660" s="11"/>
    </row>
    <row r="661" spans="17:19" x14ac:dyDescent="0.2">
      <c r="Q661" s="10"/>
      <c r="R661" s="10"/>
      <c r="S661" s="11"/>
    </row>
    <row r="662" spans="17:19" x14ac:dyDescent="0.2">
      <c r="Q662" s="10"/>
      <c r="R662" s="10"/>
      <c r="S662" s="11"/>
    </row>
    <row r="663" spans="17:19" x14ac:dyDescent="0.2">
      <c r="Q663" s="10"/>
      <c r="R663" s="10"/>
      <c r="S663" s="11"/>
    </row>
    <row r="664" spans="17:19" x14ac:dyDescent="0.2">
      <c r="Q664" s="10"/>
      <c r="R664" s="10"/>
      <c r="S664" s="11"/>
    </row>
    <row r="665" spans="17:19" x14ac:dyDescent="0.2">
      <c r="Q665" s="10"/>
      <c r="R665" s="10"/>
      <c r="S665" s="11"/>
    </row>
    <row r="666" spans="17:19" x14ac:dyDescent="0.2">
      <c r="Q666" s="10"/>
      <c r="R666" s="10"/>
      <c r="S666" s="11"/>
    </row>
    <row r="667" spans="17:19" x14ac:dyDescent="0.2">
      <c r="Q667" s="10"/>
      <c r="R667" s="10"/>
      <c r="S667" s="11"/>
    </row>
    <row r="668" spans="17:19" x14ac:dyDescent="0.2">
      <c r="Q668" s="10"/>
      <c r="R668" s="10"/>
      <c r="S668" s="11"/>
    </row>
    <row r="669" spans="17:19" x14ac:dyDescent="0.2">
      <c r="Q669" s="10"/>
      <c r="R669" s="10"/>
      <c r="S669" s="11"/>
    </row>
    <row r="670" spans="17:19" x14ac:dyDescent="0.2">
      <c r="Q670" s="10"/>
      <c r="R670" s="10"/>
      <c r="S670" s="11"/>
    </row>
    <row r="671" spans="17:19" x14ac:dyDescent="0.2">
      <c r="Q671" s="10"/>
      <c r="R671" s="10"/>
      <c r="S671" s="11"/>
    </row>
    <row r="672" spans="17:19" x14ac:dyDescent="0.2">
      <c r="Q672" s="10"/>
      <c r="R672" s="10"/>
      <c r="S672" s="11"/>
    </row>
    <row r="673" spans="17:19" x14ac:dyDescent="0.2">
      <c r="Q673" s="10"/>
      <c r="R673" s="10"/>
      <c r="S673" s="11"/>
    </row>
    <row r="674" spans="17:19" x14ac:dyDescent="0.2">
      <c r="Q674" s="10"/>
      <c r="R674" s="10"/>
      <c r="S674" s="11"/>
    </row>
    <row r="675" spans="17:19" x14ac:dyDescent="0.2">
      <c r="Q675" s="10"/>
      <c r="R675" s="10"/>
      <c r="S675" s="11"/>
    </row>
    <row r="676" spans="17:19" x14ac:dyDescent="0.2">
      <c r="Q676" s="10"/>
      <c r="R676" s="10"/>
      <c r="S676" s="11"/>
    </row>
    <row r="677" spans="17:19" x14ac:dyDescent="0.2">
      <c r="Q677" s="10"/>
      <c r="R677" s="10"/>
      <c r="S677" s="11"/>
    </row>
    <row r="678" spans="17:19" x14ac:dyDescent="0.2">
      <c r="Q678" s="10"/>
      <c r="R678" s="10"/>
      <c r="S678" s="11"/>
    </row>
    <row r="679" spans="17:19" x14ac:dyDescent="0.2">
      <c r="Q679" s="10"/>
      <c r="R679" s="10"/>
      <c r="S679" s="11"/>
    </row>
    <row r="680" spans="17:19" x14ac:dyDescent="0.2">
      <c r="Q680" s="10"/>
      <c r="R680" s="10"/>
      <c r="S680" s="11"/>
    </row>
    <row r="681" spans="17:19" x14ac:dyDescent="0.2">
      <c r="Q681" s="10"/>
      <c r="R681" s="10"/>
      <c r="S681" s="11"/>
    </row>
    <row r="682" spans="17:19" x14ac:dyDescent="0.2">
      <c r="Q682" s="10"/>
      <c r="R682" s="10"/>
      <c r="S682" s="11"/>
    </row>
    <row r="683" spans="17:19" x14ac:dyDescent="0.2">
      <c r="Q683" s="10"/>
      <c r="R683" s="10"/>
      <c r="S683" s="11"/>
    </row>
    <row r="684" spans="17:19" x14ac:dyDescent="0.2">
      <c r="Q684" s="10"/>
      <c r="R684" s="10"/>
      <c r="S684" s="11"/>
    </row>
    <row r="685" spans="17:19" x14ac:dyDescent="0.2">
      <c r="Q685" s="10"/>
      <c r="R685" s="10"/>
      <c r="S685" s="11"/>
    </row>
    <row r="686" spans="17:19" x14ac:dyDescent="0.2">
      <c r="Q686" s="10"/>
      <c r="R686" s="10"/>
      <c r="S686" s="11"/>
    </row>
    <row r="687" spans="17:19" x14ac:dyDescent="0.2">
      <c r="Q687" s="10"/>
      <c r="R687" s="10"/>
      <c r="S687" s="11"/>
    </row>
    <row r="688" spans="17:19" x14ac:dyDescent="0.2">
      <c r="Q688" s="10"/>
      <c r="R688" s="10"/>
      <c r="S688" s="11"/>
    </row>
    <row r="689" spans="17:19" x14ac:dyDescent="0.2">
      <c r="Q689" s="10"/>
      <c r="R689" s="10"/>
      <c r="S689" s="11"/>
    </row>
    <row r="690" spans="17:19" x14ac:dyDescent="0.2">
      <c r="Q690" s="10"/>
      <c r="R690" s="10"/>
      <c r="S690" s="11"/>
    </row>
    <row r="691" spans="17:19" x14ac:dyDescent="0.2">
      <c r="Q691" s="10"/>
      <c r="R691" s="10"/>
      <c r="S691" s="11"/>
    </row>
    <row r="692" spans="17:19" x14ac:dyDescent="0.2">
      <c r="Q692" s="10"/>
      <c r="R692" s="10"/>
      <c r="S692" s="11"/>
    </row>
    <row r="693" spans="17:19" x14ac:dyDescent="0.2">
      <c r="Q693" s="10"/>
      <c r="R693" s="10"/>
      <c r="S693" s="11"/>
    </row>
    <row r="694" spans="17:19" x14ac:dyDescent="0.2">
      <c r="Q694" s="10"/>
      <c r="R694" s="10"/>
      <c r="S694" s="11"/>
    </row>
    <row r="695" spans="17:19" x14ac:dyDescent="0.2">
      <c r="Q695" s="10"/>
      <c r="R695" s="10"/>
      <c r="S695" s="11"/>
    </row>
    <row r="696" spans="17:19" x14ac:dyDescent="0.2">
      <c r="Q696" s="10"/>
      <c r="R696" s="10"/>
      <c r="S696" s="11"/>
    </row>
    <row r="697" spans="17:19" x14ac:dyDescent="0.2">
      <c r="Q697" s="10"/>
      <c r="R697" s="10"/>
      <c r="S697" s="11"/>
    </row>
    <row r="698" spans="17:19" x14ac:dyDescent="0.2">
      <c r="Q698" s="10"/>
      <c r="R698" s="10"/>
      <c r="S698" s="11"/>
    </row>
    <row r="699" spans="17:19" x14ac:dyDescent="0.2">
      <c r="Q699" s="10"/>
      <c r="R699" s="10"/>
      <c r="S699" s="11"/>
    </row>
    <row r="700" spans="17:19" x14ac:dyDescent="0.2">
      <c r="Q700" s="10"/>
      <c r="R700" s="10"/>
      <c r="S700" s="11"/>
    </row>
    <row r="701" spans="17:19" x14ac:dyDescent="0.2">
      <c r="Q701" s="10"/>
      <c r="R701" s="10"/>
      <c r="S701" s="11"/>
    </row>
    <row r="702" spans="17:19" x14ac:dyDescent="0.2">
      <c r="Q702" s="10"/>
      <c r="R702" s="10"/>
      <c r="S702" s="11"/>
    </row>
    <row r="703" spans="17:19" x14ac:dyDescent="0.2">
      <c r="Q703" s="10"/>
      <c r="R703" s="10"/>
      <c r="S703" s="11"/>
    </row>
    <row r="704" spans="17:19" x14ac:dyDescent="0.2">
      <c r="Q704" s="10"/>
      <c r="R704" s="10"/>
      <c r="S704" s="11"/>
    </row>
    <row r="705" spans="17:19" x14ac:dyDescent="0.2">
      <c r="Q705" s="10"/>
      <c r="R705" s="10"/>
      <c r="S705" s="11"/>
    </row>
    <row r="706" spans="17:19" x14ac:dyDescent="0.2">
      <c r="Q706" s="10"/>
      <c r="R706" s="10"/>
      <c r="S706" s="11"/>
    </row>
    <row r="707" spans="17:19" x14ac:dyDescent="0.2">
      <c r="Q707" s="10"/>
      <c r="R707" s="10"/>
      <c r="S707" s="11"/>
    </row>
    <row r="708" spans="17:19" x14ac:dyDescent="0.2">
      <c r="Q708" s="10"/>
      <c r="R708" s="10"/>
      <c r="S708" s="11"/>
    </row>
    <row r="709" spans="17:19" x14ac:dyDescent="0.2">
      <c r="Q709" s="10"/>
      <c r="R709" s="10"/>
      <c r="S709" s="11"/>
    </row>
    <row r="710" spans="17:19" x14ac:dyDescent="0.2">
      <c r="Q710" s="10"/>
      <c r="R710" s="10"/>
      <c r="S710" s="11"/>
    </row>
    <row r="711" spans="17:19" x14ac:dyDescent="0.2">
      <c r="Q711" s="10"/>
      <c r="R711" s="10"/>
      <c r="S711" s="11"/>
    </row>
    <row r="712" spans="17:19" x14ac:dyDescent="0.2">
      <c r="Q712" s="10"/>
      <c r="R712" s="10"/>
      <c r="S712" s="11"/>
    </row>
    <row r="713" spans="17:19" x14ac:dyDescent="0.2">
      <c r="Q713" s="10"/>
      <c r="R713" s="10"/>
      <c r="S713" s="11"/>
    </row>
    <row r="714" spans="17:19" x14ac:dyDescent="0.2">
      <c r="Q714" s="10"/>
      <c r="R714" s="10"/>
      <c r="S714" s="11"/>
    </row>
    <row r="715" spans="17:19" x14ac:dyDescent="0.2">
      <c r="Q715" s="10"/>
      <c r="R715" s="10"/>
      <c r="S715" s="11"/>
    </row>
    <row r="716" spans="17:19" x14ac:dyDescent="0.2">
      <c r="Q716" s="10"/>
      <c r="R716" s="10"/>
      <c r="S716" s="11"/>
    </row>
    <row r="717" spans="17:19" x14ac:dyDescent="0.2">
      <c r="Q717" s="10"/>
      <c r="R717" s="10"/>
      <c r="S717" s="11"/>
    </row>
    <row r="718" spans="17:19" x14ac:dyDescent="0.2">
      <c r="Q718" s="10"/>
      <c r="R718" s="10"/>
      <c r="S718" s="11"/>
    </row>
    <row r="719" spans="17:19" x14ac:dyDescent="0.2">
      <c r="Q719" s="10"/>
      <c r="R719" s="10"/>
      <c r="S719" s="11"/>
    </row>
    <row r="720" spans="17:19" x14ac:dyDescent="0.2">
      <c r="Q720" s="10"/>
      <c r="R720" s="10"/>
      <c r="S720" s="11"/>
    </row>
    <row r="721" spans="17:19" x14ac:dyDescent="0.2">
      <c r="Q721" s="10"/>
      <c r="R721" s="10"/>
      <c r="S721" s="11"/>
    </row>
    <row r="722" spans="17:19" x14ac:dyDescent="0.2">
      <c r="Q722" s="10"/>
      <c r="R722" s="10"/>
      <c r="S722" s="11"/>
    </row>
    <row r="723" spans="17:19" x14ac:dyDescent="0.2">
      <c r="Q723" s="10"/>
      <c r="R723" s="10"/>
      <c r="S723" s="11"/>
    </row>
    <row r="724" spans="17:19" x14ac:dyDescent="0.2">
      <c r="Q724" s="10"/>
      <c r="R724" s="10"/>
      <c r="S724" s="11"/>
    </row>
    <row r="725" spans="17:19" x14ac:dyDescent="0.2">
      <c r="Q725" s="10"/>
      <c r="R725" s="10"/>
      <c r="S725" s="11"/>
    </row>
    <row r="726" spans="17:19" x14ac:dyDescent="0.2">
      <c r="Q726" s="10"/>
      <c r="R726" s="10"/>
      <c r="S726" s="11"/>
    </row>
    <row r="727" spans="17:19" x14ac:dyDescent="0.2">
      <c r="Q727" s="10"/>
      <c r="R727" s="10"/>
      <c r="S727" s="11"/>
    </row>
    <row r="728" spans="17:19" x14ac:dyDescent="0.2">
      <c r="Q728" s="10"/>
      <c r="R728" s="10"/>
      <c r="S728" s="11"/>
    </row>
    <row r="729" spans="17:19" x14ac:dyDescent="0.2">
      <c r="Q729" s="10"/>
      <c r="R729" s="10"/>
      <c r="S729" s="11"/>
    </row>
    <row r="730" spans="17:19" x14ac:dyDescent="0.2">
      <c r="Q730" s="10"/>
      <c r="R730" s="10"/>
      <c r="S730" s="11"/>
    </row>
    <row r="731" spans="17:19" x14ac:dyDescent="0.2">
      <c r="Q731" s="10"/>
      <c r="R731" s="10"/>
      <c r="S731" s="11"/>
    </row>
    <row r="732" spans="17:19" x14ac:dyDescent="0.2">
      <c r="Q732" s="10"/>
      <c r="R732" s="10"/>
      <c r="S732" s="11"/>
    </row>
    <row r="733" spans="17:19" x14ac:dyDescent="0.2">
      <c r="Q733" s="10"/>
      <c r="R733" s="10"/>
      <c r="S733" s="11"/>
    </row>
    <row r="734" spans="17:19" x14ac:dyDescent="0.2">
      <c r="Q734" s="10"/>
      <c r="R734" s="10"/>
      <c r="S734" s="11"/>
    </row>
    <row r="735" spans="17:19" x14ac:dyDescent="0.2">
      <c r="Q735" s="10"/>
      <c r="R735" s="10"/>
      <c r="S735" s="11"/>
    </row>
    <row r="736" spans="17:19" x14ac:dyDescent="0.2">
      <c r="Q736" s="10"/>
      <c r="R736" s="10"/>
      <c r="S736" s="11"/>
    </row>
    <row r="737" spans="17:19" x14ac:dyDescent="0.2">
      <c r="Q737" s="10"/>
      <c r="R737" s="10"/>
      <c r="S737" s="11"/>
    </row>
    <row r="738" spans="17:19" x14ac:dyDescent="0.2">
      <c r="Q738" s="10"/>
      <c r="R738" s="10"/>
      <c r="S738" s="11"/>
    </row>
    <row r="739" spans="17:19" x14ac:dyDescent="0.2">
      <c r="Q739" s="10"/>
      <c r="R739" s="10"/>
      <c r="S739" s="11"/>
    </row>
    <row r="740" spans="17:19" x14ac:dyDescent="0.2">
      <c r="Q740" s="10"/>
      <c r="R740" s="10"/>
      <c r="S740" s="11"/>
    </row>
    <row r="741" spans="17:19" x14ac:dyDescent="0.2">
      <c r="Q741" s="10"/>
      <c r="R741" s="10"/>
      <c r="S741" s="11"/>
    </row>
    <row r="742" spans="17:19" x14ac:dyDescent="0.2">
      <c r="Q742" s="10"/>
      <c r="R742" s="10"/>
      <c r="S742" s="11"/>
    </row>
    <row r="743" spans="17:19" x14ac:dyDescent="0.2">
      <c r="Q743" s="10"/>
      <c r="R743" s="10"/>
      <c r="S743" s="11"/>
    </row>
    <row r="744" spans="17:19" x14ac:dyDescent="0.2">
      <c r="Q744" s="10"/>
      <c r="R744" s="10"/>
      <c r="S744" s="11"/>
    </row>
    <row r="745" spans="17:19" x14ac:dyDescent="0.2">
      <c r="Q745" s="10"/>
      <c r="R745" s="10"/>
      <c r="S745" s="11"/>
    </row>
    <row r="746" spans="17:19" x14ac:dyDescent="0.2">
      <c r="Q746" s="10"/>
      <c r="R746" s="10"/>
      <c r="S746" s="11"/>
    </row>
    <row r="747" spans="17:19" x14ac:dyDescent="0.2">
      <c r="Q747" s="10"/>
      <c r="R747" s="10"/>
      <c r="S747" s="11"/>
    </row>
    <row r="748" spans="17:19" x14ac:dyDescent="0.2">
      <c r="Q748" s="10"/>
      <c r="R748" s="10"/>
      <c r="S748" s="11"/>
    </row>
    <row r="749" spans="17:19" x14ac:dyDescent="0.2">
      <c r="Q749" s="10"/>
      <c r="R749" s="10"/>
      <c r="S749" s="11"/>
    </row>
    <row r="750" spans="17:19" x14ac:dyDescent="0.2">
      <c r="Q750" s="10"/>
      <c r="R750" s="10"/>
      <c r="S750" s="11"/>
    </row>
    <row r="751" spans="17:19" x14ac:dyDescent="0.2">
      <c r="Q751" s="10"/>
      <c r="R751" s="10"/>
      <c r="S751" s="11"/>
    </row>
    <row r="752" spans="17:19" x14ac:dyDescent="0.2">
      <c r="Q752" s="10"/>
      <c r="R752" s="10"/>
      <c r="S752" s="11"/>
    </row>
    <row r="753" spans="17:19" x14ac:dyDescent="0.2">
      <c r="Q753" s="10"/>
      <c r="R753" s="10"/>
      <c r="S753" s="11"/>
    </row>
    <row r="754" spans="17:19" x14ac:dyDescent="0.2">
      <c r="Q754" s="10"/>
      <c r="R754" s="10"/>
      <c r="S754" s="11"/>
    </row>
    <row r="755" spans="17:19" x14ac:dyDescent="0.2">
      <c r="Q755" s="10"/>
      <c r="R755" s="10"/>
      <c r="S755" s="11"/>
    </row>
    <row r="756" spans="17:19" x14ac:dyDescent="0.2">
      <c r="Q756" s="10"/>
      <c r="R756" s="10"/>
      <c r="S756" s="11"/>
    </row>
    <row r="757" spans="17:19" x14ac:dyDescent="0.2">
      <c r="Q757" s="10"/>
      <c r="R757" s="10"/>
      <c r="S757" s="11"/>
    </row>
    <row r="758" spans="17:19" x14ac:dyDescent="0.2">
      <c r="Q758" s="10"/>
      <c r="R758" s="10"/>
      <c r="S758" s="11"/>
    </row>
    <row r="759" spans="17:19" x14ac:dyDescent="0.2">
      <c r="Q759" s="10"/>
      <c r="R759" s="10"/>
      <c r="S759" s="11"/>
    </row>
    <row r="760" spans="17:19" x14ac:dyDescent="0.2">
      <c r="Q760" s="10"/>
      <c r="R760" s="10"/>
      <c r="S760" s="11"/>
    </row>
    <row r="761" spans="17:19" x14ac:dyDescent="0.2">
      <c r="Q761" s="10"/>
      <c r="R761" s="10"/>
      <c r="S761" s="11"/>
    </row>
    <row r="762" spans="17:19" x14ac:dyDescent="0.2">
      <c r="Q762" s="10"/>
      <c r="R762" s="10"/>
      <c r="S762" s="11"/>
    </row>
    <row r="763" spans="17:19" x14ac:dyDescent="0.2">
      <c r="Q763" s="10"/>
      <c r="R763" s="10"/>
      <c r="S763" s="11"/>
    </row>
    <row r="764" spans="17:19" x14ac:dyDescent="0.2">
      <c r="Q764" s="10"/>
      <c r="R764" s="10"/>
      <c r="S764" s="11"/>
    </row>
    <row r="765" spans="17:19" x14ac:dyDescent="0.2">
      <c r="Q765" s="10"/>
      <c r="R765" s="10"/>
      <c r="S765" s="11"/>
    </row>
    <row r="766" spans="17:19" x14ac:dyDescent="0.2">
      <c r="Q766" s="10"/>
      <c r="R766" s="10"/>
      <c r="S766" s="11"/>
    </row>
    <row r="767" spans="17:19" x14ac:dyDescent="0.2">
      <c r="Q767" s="10"/>
      <c r="R767" s="10"/>
      <c r="S767" s="11"/>
    </row>
    <row r="768" spans="17:19" x14ac:dyDescent="0.2">
      <c r="Q768" s="10"/>
      <c r="R768" s="10"/>
      <c r="S768" s="11"/>
    </row>
    <row r="769" spans="17:19" x14ac:dyDescent="0.2">
      <c r="Q769" s="10"/>
      <c r="R769" s="10"/>
      <c r="S769" s="11"/>
    </row>
    <row r="770" spans="17:19" x14ac:dyDescent="0.2">
      <c r="Q770" s="10"/>
      <c r="R770" s="10"/>
      <c r="S770" s="11"/>
    </row>
    <row r="771" spans="17:19" x14ac:dyDescent="0.2">
      <c r="Q771" s="10"/>
      <c r="R771" s="10"/>
      <c r="S771" s="11"/>
    </row>
    <row r="772" spans="17:19" x14ac:dyDescent="0.2">
      <c r="Q772" s="10"/>
      <c r="R772" s="10"/>
      <c r="S772" s="11"/>
    </row>
    <row r="773" spans="17:19" x14ac:dyDescent="0.2">
      <c r="Q773" s="10"/>
      <c r="R773" s="10"/>
      <c r="S773" s="11"/>
    </row>
    <row r="774" spans="17:19" x14ac:dyDescent="0.2">
      <c r="Q774" s="10"/>
      <c r="R774" s="10"/>
      <c r="S774" s="11"/>
    </row>
    <row r="775" spans="17:19" x14ac:dyDescent="0.2">
      <c r="Q775" s="10"/>
      <c r="R775" s="10"/>
      <c r="S775" s="11"/>
    </row>
    <row r="776" spans="17:19" x14ac:dyDescent="0.2">
      <c r="Q776" s="10"/>
      <c r="R776" s="10"/>
      <c r="S776" s="11"/>
    </row>
    <row r="777" spans="17:19" x14ac:dyDescent="0.2">
      <c r="Q777" s="10"/>
      <c r="R777" s="10"/>
      <c r="S777" s="11"/>
    </row>
    <row r="778" spans="17:19" x14ac:dyDescent="0.2">
      <c r="Q778" s="10"/>
      <c r="R778" s="10"/>
      <c r="S778" s="11"/>
    </row>
    <row r="779" spans="17:19" x14ac:dyDescent="0.2">
      <c r="Q779" s="10"/>
      <c r="R779" s="10"/>
      <c r="S779" s="11"/>
    </row>
    <row r="780" spans="17:19" x14ac:dyDescent="0.2">
      <c r="Q780" s="10"/>
      <c r="R780" s="10"/>
      <c r="S780" s="11"/>
    </row>
    <row r="781" spans="17:19" x14ac:dyDescent="0.2">
      <c r="Q781" s="10"/>
      <c r="R781" s="10"/>
      <c r="S781" s="11"/>
    </row>
    <row r="782" spans="17:19" x14ac:dyDescent="0.2">
      <c r="Q782" s="10"/>
      <c r="R782" s="10"/>
      <c r="S782" s="11"/>
    </row>
    <row r="783" spans="17:19" x14ac:dyDescent="0.2">
      <c r="Q783" s="10"/>
      <c r="R783" s="10"/>
      <c r="S783" s="11"/>
    </row>
    <row r="784" spans="17:19" x14ac:dyDescent="0.2">
      <c r="Q784" s="10"/>
      <c r="R784" s="10"/>
      <c r="S784" s="11"/>
    </row>
    <row r="785" spans="17:19" x14ac:dyDescent="0.2">
      <c r="Q785" s="10"/>
      <c r="R785" s="10"/>
      <c r="S785" s="11"/>
    </row>
    <row r="786" spans="17:19" x14ac:dyDescent="0.2">
      <c r="Q786" s="10"/>
      <c r="R786" s="10"/>
      <c r="S786" s="11"/>
    </row>
    <row r="787" spans="17:19" x14ac:dyDescent="0.2">
      <c r="Q787" s="10"/>
      <c r="R787" s="10"/>
      <c r="S787" s="11"/>
    </row>
    <row r="788" spans="17:19" x14ac:dyDescent="0.2">
      <c r="Q788" s="10"/>
      <c r="R788" s="10"/>
      <c r="S788" s="11"/>
    </row>
    <row r="789" spans="17:19" x14ac:dyDescent="0.2">
      <c r="Q789" s="10"/>
      <c r="R789" s="10"/>
      <c r="S789" s="11"/>
    </row>
    <row r="790" spans="17:19" x14ac:dyDescent="0.2">
      <c r="Q790" s="10"/>
      <c r="R790" s="10"/>
      <c r="S790" s="11"/>
    </row>
    <row r="791" spans="17:19" x14ac:dyDescent="0.2">
      <c r="Q791" s="10"/>
      <c r="R791" s="10"/>
      <c r="S791" s="11"/>
    </row>
    <row r="792" spans="17:19" x14ac:dyDescent="0.2">
      <c r="Q792" s="10"/>
      <c r="R792" s="10"/>
      <c r="S792" s="11"/>
    </row>
    <row r="793" spans="17:19" x14ac:dyDescent="0.2">
      <c r="Q793" s="10"/>
      <c r="R793" s="10"/>
      <c r="S793" s="11"/>
    </row>
    <row r="794" spans="17:19" x14ac:dyDescent="0.2">
      <c r="Q794" s="10"/>
      <c r="R794" s="10"/>
      <c r="S794" s="11"/>
    </row>
    <row r="795" spans="17:19" x14ac:dyDescent="0.2">
      <c r="Q795" s="10"/>
      <c r="R795" s="10"/>
      <c r="S795" s="11"/>
    </row>
    <row r="796" spans="17:19" x14ac:dyDescent="0.2">
      <c r="Q796" s="10"/>
      <c r="R796" s="10"/>
      <c r="S796" s="11"/>
    </row>
    <row r="797" spans="17:19" x14ac:dyDescent="0.2">
      <c r="Q797" s="10"/>
      <c r="R797" s="10"/>
      <c r="S797" s="11"/>
    </row>
    <row r="798" spans="17:19" x14ac:dyDescent="0.2">
      <c r="Q798" s="10"/>
      <c r="R798" s="10"/>
      <c r="S798" s="11"/>
    </row>
    <row r="799" spans="17:19" x14ac:dyDescent="0.2">
      <c r="Q799" s="10"/>
      <c r="R799" s="10"/>
      <c r="S799" s="11"/>
    </row>
    <row r="800" spans="17:19" x14ac:dyDescent="0.2">
      <c r="Q800" s="10"/>
      <c r="R800" s="10"/>
      <c r="S800" s="11"/>
    </row>
    <row r="801" spans="17:19" x14ac:dyDescent="0.2">
      <c r="Q801" s="10"/>
      <c r="R801" s="10"/>
      <c r="S801" s="11"/>
    </row>
    <row r="802" spans="17:19" x14ac:dyDescent="0.2">
      <c r="Q802" s="10"/>
      <c r="R802" s="10"/>
      <c r="S802" s="11"/>
    </row>
    <row r="803" spans="17:19" x14ac:dyDescent="0.2">
      <c r="Q803" s="10"/>
      <c r="R803" s="10"/>
      <c r="S803" s="11"/>
    </row>
    <row r="804" spans="17:19" x14ac:dyDescent="0.2">
      <c r="Q804" s="10"/>
      <c r="R804" s="10"/>
      <c r="S804" s="11"/>
    </row>
    <row r="805" spans="17:19" x14ac:dyDescent="0.2">
      <c r="Q805" s="10"/>
      <c r="R805" s="10"/>
      <c r="S805" s="11"/>
    </row>
    <row r="806" spans="17:19" x14ac:dyDescent="0.2">
      <c r="Q806" s="10"/>
      <c r="R806" s="10"/>
      <c r="S806" s="11"/>
    </row>
    <row r="807" spans="17:19" x14ac:dyDescent="0.2">
      <c r="Q807" s="10"/>
      <c r="R807" s="10"/>
      <c r="S807" s="11"/>
    </row>
    <row r="808" spans="17:19" x14ac:dyDescent="0.2">
      <c r="Q808" s="10"/>
      <c r="R808" s="10"/>
      <c r="S808" s="11"/>
    </row>
    <row r="809" spans="17:19" x14ac:dyDescent="0.2">
      <c r="Q809" s="10"/>
      <c r="R809" s="10"/>
      <c r="S809" s="11"/>
    </row>
    <row r="810" spans="17:19" x14ac:dyDescent="0.2">
      <c r="Q810" s="10"/>
      <c r="R810" s="10"/>
      <c r="S810" s="11"/>
    </row>
    <row r="811" spans="17:19" x14ac:dyDescent="0.2">
      <c r="Q811" s="10"/>
      <c r="R811" s="10"/>
      <c r="S811" s="11"/>
    </row>
    <row r="812" spans="17:19" x14ac:dyDescent="0.2">
      <c r="Q812" s="10"/>
      <c r="R812" s="10"/>
      <c r="S812" s="11"/>
    </row>
    <row r="813" spans="17:19" x14ac:dyDescent="0.2">
      <c r="Q813" s="10"/>
      <c r="R813" s="10"/>
      <c r="S813" s="11"/>
    </row>
    <row r="814" spans="17:19" x14ac:dyDescent="0.2">
      <c r="Q814" s="10"/>
      <c r="R814" s="10"/>
      <c r="S814" s="11"/>
    </row>
    <row r="815" spans="17:19" x14ac:dyDescent="0.2">
      <c r="Q815" s="10"/>
      <c r="R815" s="10"/>
      <c r="S815" s="11"/>
    </row>
    <row r="816" spans="17:19" x14ac:dyDescent="0.2">
      <c r="Q816" s="10"/>
      <c r="R816" s="10"/>
      <c r="S816" s="11"/>
    </row>
    <row r="817" spans="17:19" x14ac:dyDescent="0.2">
      <c r="Q817" s="10"/>
      <c r="R817" s="10"/>
      <c r="S817" s="11"/>
    </row>
    <row r="818" spans="17:19" x14ac:dyDescent="0.2">
      <c r="Q818" s="10"/>
      <c r="R818" s="10"/>
      <c r="S818" s="11"/>
    </row>
    <row r="819" spans="17:19" x14ac:dyDescent="0.2">
      <c r="Q819" s="10"/>
      <c r="R819" s="10"/>
      <c r="S819" s="11"/>
    </row>
    <row r="820" spans="17:19" x14ac:dyDescent="0.2">
      <c r="Q820" s="10"/>
      <c r="R820" s="10"/>
      <c r="S820" s="11"/>
    </row>
    <row r="821" spans="17:19" x14ac:dyDescent="0.2">
      <c r="Q821" s="10"/>
      <c r="R821" s="10"/>
      <c r="S821" s="11"/>
    </row>
    <row r="822" spans="17:19" x14ac:dyDescent="0.2">
      <c r="Q822" s="10"/>
      <c r="R822" s="10"/>
      <c r="S822" s="11"/>
    </row>
    <row r="823" spans="17:19" x14ac:dyDescent="0.2">
      <c r="Q823" s="10"/>
      <c r="R823" s="10"/>
      <c r="S823" s="11"/>
    </row>
    <row r="824" spans="17:19" x14ac:dyDescent="0.2">
      <c r="Q824" s="10"/>
      <c r="R824" s="10"/>
      <c r="S824" s="11"/>
    </row>
    <row r="825" spans="17:19" x14ac:dyDescent="0.2">
      <c r="Q825" s="10"/>
      <c r="R825" s="10"/>
      <c r="S825" s="11"/>
    </row>
    <row r="826" spans="17:19" x14ac:dyDescent="0.2">
      <c r="Q826" s="10"/>
      <c r="R826" s="10"/>
      <c r="S826" s="11"/>
    </row>
    <row r="827" spans="17:19" x14ac:dyDescent="0.2">
      <c r="Q827" s="10"/>
      <c r="R827" s="10"/>
      <c r="S827" s="11"/>
    </row>
    <row r="828" spans="17:19" x14ac:dyDescent="0.2">
      <c r="Q828" s="10"/>
      <c r="R828" s="10"/>
      <c r="S828" s="11"/>
    </row>
    <row r="829" spans="17:19" x14ac:dyDescent="0.2">
      <c r="Q829" s="10"/>
      <c r="R829" s="10"/>
      <c r="S829" s="11"/>
    </row>
    <row r="830" spans="17:19" x14ac:dyDescent="0.2">
      <c r="Q830" s="10"/>
      <c r="R830" s="10"/>
      <c r="S830" s="11"/>
    </row>
    <row r="831" spans="17:19" x14ac:dyDescent="0.2">
      <c r="Q831" s="10"/>
      <c r="R831" s="10"/>
      <c r="S831" s="11"/>
    </row>
    <row r="832" spans="17:19" x14ac:dyDescent="0.2">
      <c r="Q832" s="10"/>
      <c r="R832" s="10"/>
      <c r="S832" s="11"/>
    </row>
    <row r="833" spans="17:19" x14ac:dyDescent="0.2">
      <c r="Q833" s="10"/>
      <c r="R833" s="10"/>
      <c r="S833" s="11"/>
    </row>
    <row r="834" spans="17:19" x14ac:dyDescent="0.2">
      <c r="Q834" s="10"/>
      <c r="R834" s="10"/>
      <c r="S834" s="11"/>
    </row>
    <row r="835" spans="17:19" x14ac:dyDescent="0.2">
      <c r="Q835" s="10"/>
      <c r="R835" s="10"/>
      <c r="S835" s="11"/>
    </row>
    <row r="836" spans="17:19" x14ac:dyDescent="0.2">
      <c r="Q836" s="10"/>
      <c r="R836" s="10"/>
      <c r="S836" s="11"/>
    </row>
    <row r="837" spans="17:19" x14ac:dyDescent="0.2">
      <c r="Q837" s="10"/>
      <c r="R837" s="10"/>
      <c r="S837" s="11"/>
    </row>
    <row r="838" spans="17:19" x14ac:dyDescent="0.2">
      <c r="Q838" s="10"/>
      <c r="R838" s="10"/>
      <c r="S838" s="11"/>
    </row>
    <row r="839" spans="17:19" x14ac:dyDescent="0.2">
      <c r="Q839" s="10"/>
      <c r="R839" s="10"/>
      <c r="S839" s="11"/>
    </row>
    <row r="840" spans="17:19" x14ac:dyDescent="0.2">
      <c r="Q840" s="10"/>
      <c r="R840" s="10"/>
      <c r="S840" s="11"/>
    </row>
    <row r="841" spans="17:19" x14ac:dyDescent="0.2">
      <c r="Q841" s="10"/>
      <c r="R841" s="10"/>
      <c r="S841" s="11"/>
    </row>
    <row r="842" spans="17:19" x14ac:dyDescent="0.2">
      <c r="Q842" s="10"/>
      <c r="R842" s="10"/>
      <c r="S842" s="11"/>
    </row>
    <row r="843" spans="17:19" x14ac:dyDescent="0.2">
      <c r="Q843" s="10"/>
      <c r="R843" s="10"/>
      <c r="S843" s="11"/>
    </row>
    <row r="844" spans="17:19" x14ac:dyDescent="0.2">
      <c r="Q844" s="10"/>
      <c r="R844" s="10"/>
      <c r="S844" s="11"/>
    </row>
    <row r="845" spans="17:19" x14ac:dyDescent="0.2">
      <c r="Q845" s="10"/>
      <c r="R845" s="10"/>
      <c r="S845" s="11"/>
    </row>
    <row r="846" spans="17:19" x14ac:dyDescent="0.2">
      <c r="Q846" s="10"/>
      <c r="R846" s="10"/>
      <c r="S846" s="11"/>
    </row>
    <row r="847" spans="17:19" x14ac:dyDescent="0.2">
      <c r="Q847" s="10"/>
      <c r="R847" s="10"/>
      <c r="S847" s="11"/>
    </row>
    <row r="848" spans="17:19" x14ac:dyDescent="0.2">
      <c r="Q848" s="10"/>
      <c r="R848" s="10"/>
      <c r="S848" s="11"/>
    </row>
    <row r="849" spans="17:19" x14ac:dyDescent="0.2">
      <c r="Q849" s="10"/>
      <c r="R849" s="10"/>
      <c r="S849" s="11"/>
    </row>
    <row r="850" spans="17:19" x14ac:dyDescent="0.2">
      <c r="Q850" s="10"/>
      <c r="R850" s="10"/>
      <c r="S850" s="11"/>
    </row>
    <row r="851" spans="17:19" x14ac:dyDescent="0.2">
      <c r="Q851" s="10"/>
      <c r="R851" s="10"/>
      <c r="S851" s="11"/>
    </row>
    <row r="852" spans="17:19" x14ac:dyDescent="0.2">
      <c r="Q852" s="10"/>
      <c r="R852" s="10"/>
      <c r="S852" s="11"/>
    </row>
    <row r="853" spans="17:19" x14ac:dyDescent="0.2">
      <c r="Q853" s="10"/>
      <c r="R853" s="10"/>
      <c r="S853" s="11"/>
    </row>
    <row r="854" spans="17:19" x14ac:dyDescent="0.2">
      <c r="Q854" s="10"/>
      <c r="R854" s="10"/>
      <c r="S854" s="11"/>
    </row>
    <row r="855" spans="17:19" x14ac:dyDescent="0.2">
      <c r="Q855" s="10"/>
      <c r="R855" s="10"/>
      <c r="S855" s="11"/>
    </row>
    <row r="856" spans="17:19" x14ac:dyDescent="0.2">
      <c r="Q856" s="10"/>
      <c r="R856" s="10"/>
      <c r="S856" s="11"/>
    </row>
    <row r="857" spans="17:19" x14ac:dyDescent="0.2">
      <c r="Q857" s="10"/>
      <c r="R857" s="10"/>
      <c r="S857" s="11"/>
    </row>
    <row r="858" spans="17:19" x14ac:dyDescent="0.2">
      <c r="Q858" s="10"/>
      <c r="R858" s="10"/>
      <c r="S858" s="11"/>
    </row>
    <row r="859" spans="17:19" x14ac:dyDescent="0.2">
      <c r="Q859" s="10"/>
      <c r="R859" s="10"/>
      <c r="S859" s="11"/>
    </row>
    <row r="860" spans="17:19" x14ac:dyDescent="0.2">
      <c r="Q860" s="10"/>
      <c r="R860" s="10"/>
      <c r="S860" s="11"/>
    </row>
    <row r="861" spans="17:19" x14ac:dyDescent="0.2">
      <c r="Q861" s="10"/>
      <c r="R861" s="10"/>
      <c r="S861" s="11"/>
    </row>
    <row r="862" spans="17:19" x14ac:dyDescent="0.2">
      <c r="Q862" s="10"/>
      <c r="R862" s="10"/>
      <c r="S862" s="11"/>
    </row>
    <row r="863" spans="17:19" x14ac:dyDescent="0.2">
      <c r="Q863" s="10"/>
      <c r="R863" s="10"/>
      <c r="S863" s="11"/>
    </row>
    <row r="864" spans="17:19" x14ac:dyDescent="0.2">
      <c r="Q864" s="10"/>
      <c r="R864" s="10"/>
      <c r="S864" s="11"/>
    </row>
    <row r="865" spans="17:19" x14ac:dyDescent="0.2">
      <c r="Q865" s="10"/>
      <c r="R865" s="10"/>
      <c r="S865" s="11"/>
    </row>
    <row r="866" spans="17:19" x14ac:dyDescent="0.2">
      <c r="Q866" s="10"/>
      <c r="R866" s="10"/>
      <c r="S866" s="11"/>
    </row>
    <row r="867" spans="17:19" x14ac:dyDescent="0.2">
      <c r="Q867" s="10"/>
      <c r="R867" s="10"/>
      <c r="S867" s="11"/>
    </row>
    <row r="868" spans="17:19" x14ac:dyDescent="0.2">
      <c r="Q868" s="10"/>
      <c r="R868" s="10"/>
      <c r="S868" s="11"/>
    </row>
    <row r="869" spans="17:19" x14ac:dyDescent="0.2">
      <c r="Q869" s="10"/>
      <c r="R869" s="10"/>
      <c r="S869" s="11"/>
    </row>
    <row r="870" spans="17:19" x14ac:dyDescent="0.2">
      <c r="Q870" s="10"/>
      <c r="R870" s="10"/>
      <c r="S870" s="11"/>
    </row>
    <row r="871" spans="17:19" x14ac:dyDescent="0.2">
      <c r="Q871" s="10"/>
      <c r="R871" s="10"/>
      <c r="S871" s="11"/>
    </row>
    <row r="872" spans="17:19" x14ac:dyDescent="0.2">
      <c r="Q872" s="10"/>
      <c r="R872" s="10"/>
      <c r="S872" s="11"/>
    </row>
    <row r="873" spans="17:19" x14ac:dyDescent="0.2">
      <c r="Q873" s="10"/>
      <c r="R873" s="10"/>
      <c r="S873" s="11"/>
    </row>
    <row r="874" spans="17:19" x14ac:dyDescent="0.2">
      <c r="Q874" s="10"/>
      <c r="R874" s="10"/>
      <c r="S874" s="11"/>
    </row>
    <row r="875" spans="17:19" x14ac:dyDescent="0.2">
      <c r="Q875" s="10"/>
      <c r="R875" s="10"/>
      <c r="S875" s="11"/>
    </row>
    <row r="876" spans="17:19" x14ac:dyDescent="0.2">
      <c r="Q876" s="10"/>
      <c r="R876" s="10"/>
      <c r="S876" s="11"/>
    </row>
    <row r="877" spans="17:19" x14ac:dyDescent="0.2">
      <c r="Q877" s="10"/>
      <c r="R877" s="10"/>
      <c r="S877" s="11"/>
    </row>
    <row r="878" spans="17:19" x14ac:dyDescent="0.2">
      <c r="Q878" s="10"/>
      <c r="R878" s="10"/>
      <c r="S878" s="11"/>
    </row>
    <row r="879" spans="17:19" x14ac:dyDescent="0.2">
      <c r="Q879" s="10"/>
      <c r="R879" s="10"/>
      <c r="S879" s="11"/>
    </row>
    <row r="880" spans="17:19" x14ac:dyDescent="0.2">
      <c r="Q880" s="10"/>
      <c r="R880" s="10"/>
      <c r="S880" s="11"/>
    </row>
    <row r="881" spans="17:19" x14ac:dyDescent="0.2">
      <c r="Q881" s="10"/>
      <c r="R881" s="10"/>
      <c r="S881" s="11"/>
    </row>
    <row r="882" spans="17:19" x14ac:dyDescent="0.2">
      <c r="Q882" s="10"/>
      <c r="R882" s="10"/>
      <c r="S882" s="11"/>
    </row>
    <row r="883" spans="17:19" x14ac:dyDescent="0.2">
      <c r="Q883" s="10"/>
      <c r="R883" s="10"/>
      <c r="S883" s="11"/>
    </row>
    <row r="884" spans="17:19" x14ac:dyDescent="0.2">
      <c r="Q884" s="10"/>
      <c r="R884" s="10"/>
      <c r="S884" s="11"/>
    </row>
    <row r="885" spans="17:19" x14ac:dyDescent="0.2">
      <c r="Q885" s="10"/>
      <c r="R885" s="10"/>
      <c r="S885" s="11"/>
    </row>
    <row r="886" spans="17:19" x14ac:dyDescent="0.2">
      <c r="Q886" s="10"/>
      <c r="R886" s="10"/>
      <c r="S886" s="11"/>
    </row>
    <row r="887" spans="17:19" x14ac:dyDescent="0.2">
      <c r="Q887" s="10"/>
      <c r="R887" s="10"/>
      <c r="S887" s="11"/>
    </row>
    <row r="888" spans="17:19" x14ac:dyDescent="0.2">
      <c r="Q888" s="10"/>
      <c r="R888" s="10"/>
      <c r="S888" s="11"/>
    </row>
    <row r="889" spans="17:19" x14ac:dyDescent="0.2">
      <c r="Q889" s="10"/>
      <c r="R889" s="10"/>
      <c r="S889" s="11"/>
    </row>
    <row r="890" spans="17:19" x14ac:dyDescent="0.2">
      <c r="Q890" s="10"/>
      <c r="R890" s="10"/>
      <c r="S890" s="11"/>
    </row>
    <row r="891" spans="17:19" x14ac:dyDescent="0.2">
      <c r="Q891" s="10"/>
      <c r="R891" s="10"/>
      <c r="S891" s="11"/>
    </row>
    <row r="892" spans="17:19" x14ac:dyDescent="0.2">
      <c r="Q892" s="10"/>
      <c r="R892" s="10"/>
      <c r="S892" s="11"/>
    </row>
    <row r="893" spans="17:19" x14ac:dyDescent="0.2">
      <c r="Q893" s="10"/>
      <c r="R893" s="10"/>
      <c r="S893" s="11"/>
    </row>
    <row r="894" spans="17:19" x14ac:dyDescent="0.2">
      <c r="Q894" s="10"/>
      <c r="R894" s="10"/>
      <c r="S894" s="11"/>
    </row>
    <row r="895" spans="17:19" x14ac:dyDescent="0.2">
      <c r="Q895" s="10"/>
      <c r="R895" s="10"/>
      <c r="S895" s="11"/>
    </row>
    <row r="896" spans="17:19" x14ac:dyDescent="0.2">
      <c r="Q896" s="10"/>
      <c r="R896" s="10"/>
      <c r="S896" s="11"/>
    </row>
    <row r="897" spans="17:19" x14ac:dyDescent="0.2">
      <c r="Q897" s="10"/>
      <c r="R897" s="10"/>
      <c r="S897" s="11"/>
    </row>
    <row r="898" spans="17:19" x14ac:dyDescent="0.2">
      <c r="Q898" s="10"/>
      <c r="R898" s="10"/>
      <c r="S898" s="11"/>
    </row>
    <row r="899" spans="17:19" x14ac:dyDescent="0.2">
      <c r="Q899" s="10"/>
      <c r="R899" s="10"/>
      <c r="S899" s="11"/>
    </row>
    <row r="900" spans="17:19" x14ac:dyDescent="0.2">
      <c r="Q900" s="10"/>
      <c r="R900" s="10"/>
      <c r="S900" s="11"/>
    </row>
    <row r="901" spans="17:19" x14ac:dyDescent="0.2">
      <c r="Q901" s="10"/>
      <c r="R901" s="10"/>
      <c r="S901" s="11"/>
    </row>
    <row r="902" spans="17:19" x14ac:dyDescent="0.2">
      <c r="Q902" s="10"/>
      <c r="R902" s="10"/>
      <c r="S902" s="11"/>
    </row>
    <row r="903" spans="17:19" x14ac:dyDescent="0.2">
      <c r="Q903" s="10"/>
      <c r="R903" s="10"/>
      <c r="S903" s="11"/>
    </row>
    <row r="904" spans="17:19" x14ac:dyDescent="0.2">
      <c r="Q904" s="10"/>
      <c r="R904" s="10"/>
      <c r="S904" s="11"/>
    </row>
    <row r="905" spans="17:19" x14ac:dyDescent="0.2">
      <c r="Q905" s="10"/>
      <c r="R905" s="10"/>
      <c r="S905" s="11"/>
    </row>
    <row r="906" spans="17:19" x14ac:dyDescent="0.2">
      <c r="Q906" s="10"/>
      <c r="R906" s="10"/>
      <c r="S906" s="11"/>
    </row>
    <row r="907" spans="17:19" x14ac:dyDescent="0.2">
      <c r="Q907" s="10"/>
      <c r="R907" s="10"/>
      <c r="S907" s="11"/>
    </row>
    <row r="908" spans="17:19" x14ac:dyDescent="0.2">
      <c r="Q908" s="10"/>
      <c r="R908" s="10"/>
      <c r="S908" s="11"/>
    </row>
    <row r="909" spans="17:19" x14ac:dyDescent="0.2">
      <c r="Q909" s="10"/>
      <c r="R909" s="10"/>
      <c r="S909" s="11"/>
    </row>
    <row r="910" spans="17:19" x14ac:dyDescent="0.2">
      <c r="Q910" s="10"/>
      <c r="R910" s="10"/>
      <c r="S910" s="11"/>
    </row>
    <row r="911" spans="17:19" x14ac:dyDescent="0.2">
      <c r="Q911" s="10"/>
      <c r="R911" s="10"/>
      <c r="S911" s="11"/>
    </row>
    <row r="912" spans="17:19" x14ac:dyDescent="0.2">
      <c r="Q912" s="10"/>
      <c r="R912" s="10"/>
      <c r="S912" s="11"/>
    </row>
    <row r="913" spans="17:19" x14ac:dyDescent="0.2">
      <c r="Q913" s="10"/>
      <c r="R913" s="10"/>
      <c r="S913" s="11"/>
    </row>
    <row r="914" spans="17:19" x14ac:dyDescent="0.2">
      <c r="Q914" s="10"/>
      <c r="R914" s="10"/>
      <c r="S914" s="11"/>
    </row>
    <row r="915" spans="17:19" x14ac:dyDescent="0.2">
      <c r="Q915" s="10"/>
      <c r="R915" s="10"/>
      <c r="S915" s="11"/>
    </row>
    <row r="916" spans="17:19" x14ac:dyDescent="0.2">
      <c r="Q916" s="10"/>
      <c r="R916" s="10"/>
      <c r="S916" s="11"/>
    </row>
    <row r="917" spans="17:19" x14ac:dyDescent="0.2">
      <c r="Q917" s="10"/>
      <c r="R917" s="10"/>
      <c r="S917" s="11"/>
    </row>
    <row r="918" spans="17:19" x14ac:dyDescent="0.2">
      <c r="Q918" s="10"/>
      <c r="R918" s="10"/>
      <c r="S918" s="11"/>
    </row>
    <row r="919" spans="17:19" x14ac:dyDescent="0.2">
      <c r="Q919" s="10"/>
      <c r="R919" s="10"/>
      <c r="S919" s="11"/>
    </row>
    <row r="920" spans="17:19" x14ac:dyDescent="0.2">
      <c r="Q920" s="10"/>
      <c r="R920" s="10"/>
      <c r="S920" s="11"/>
    </row>
    <row r="921" spans="17:19" x14ac:dyDescent="0.2">
      <c r="Q921" s="10"/>
      <c r="R921" s="10"/>
      <c r="S921" s="11"/>
    </row>
    <row r="922" spans="17:19" x14ac:dyDescent="0.2">
      <c r="Q922" s="10"/>
      <c r="R922" s="10"/>
      <c r="S922" s="11"/>
    </row>
    <row r="923" spans="17:19" x14ac:dyDescent="0.2">
      <c r="Q923" s="10"/>
      <c r="R923" s="10"/>
      <c r="S923" s="11"/>
    </row>
    <row r="924" spans="17:19" x14ac:dyDescent="0.2">
      <c r="Q924" s="10"/>
      <c r="R924" s="10"/>
      <c r="S924" s="11"/>
    </row>
    <row r="925" spans="17:19" x14ac:dyDescent="0.2">
      <c r="Q925" s="10"/>
      <c r="R925" s="10"/>
      <c r="S925" s="11"/>
    </row>
    <row r="926" spans="17:19" x14ac:dyDescent="0.2">
      <c r="Q926" s="10"/>
      <c r="R926" s="10"/>
      <c r="S926" s="11"/>
    </row>
    <row r="927" spans="17:19" x14ac:dyDescent="0.2">
      <c r="Q927" s="10"/>
      <c r="R927" s="10"/>
      <c r="S927" s="11"/>
    </row>
    <row r="928" spans="17:19" x14ac:dyDescent="0.2">
      <c r="Q928" s="10"/>
      <c r="R928" s="10"/>
      <c r="S928" s="11"/>
    </row>
    <row r="929" spans="17:19" x14ac:dyDescent="0.2">
      <c r="Q929" s="10"/>
      <c r="R929" s="10"/>
      <c r="S929" s="11"/>
    </row>
    <row r="930" spans="17:19" x14ac:dyDescent="0.2">
      <c r="Q930" s="10"/>
      <c r="R930" s="10"/>
      <c r="S930" s="11"/>
    </row>
    <row r="931" spans="17:19" x14ac:dyDescent="0.2">
      <c r="Q931" s="10"/>
      <c r="R931" s="10"/>
      <c r="S931" s="11"/>
    </row>
    <row r="932" spans="17:19" x14ac:dyDescent="0.2">
      <c r="Q932" s="10"/>
      <c r="R932" s="10"/>
      <c r="S932" s="11"/>
    </row>
    <row r="933" spans="17:19" x14ac:dyDescent="0.2">
      <c r="Q933" s="10"/>
      <c r="R933" s="10"/>
      <c r="S933" s="11"/>
    </row>
    <row r="934" spans="17:19" x14ac:dyDescent="0.2">
      <c r="Q934" s="10"/>
      <c r="R934" s="10"/>
      <c r="S934" s="11"/>
    </row>
    <row r="935" spans="17:19" x14ac:dyDescent="0.2">
      <c r="Q935" s="10"/>
      <c r="R935" s="10"/>
      <c r="S935" s="11"/>
    </row>
    <row r="936" spans="17:19" x14ac:dyDescent="0.2">
      <c r="Q936" s="10"/>
      <c r="R936" s="10"/>
      <c r="S936" s="11"/>
    </row>
    <row r="937" spans="17:19" x14ac:dyDescent="0.2">
      <c r="Q937" s="10"/>
      <c r="R937" s="10"/>
      <c r="S937" s="11"/>
    </row>
    <row r="938" spans="17:19" x14ac:dyDescent="0.2">
      <c r="Q938" s="10"/>
      <c r="R938" s="10"/>
      <c r="S938" s="11"/>
    </row>
    <row r="939" spans="17:19" x14ac:dyDescent="0.2">
      <c r="Q939" s="10"/>
      <c r="R939" s="10"/>
      <c r="S939" s="11"/>
    </row>
    <row r="940" spans="17:19" x14ac:dyDescent="0.2">
      <c r="Q940" s="10"/>
      <c r="R940" s="10"/>
      <c r="S940" s="11"/>
    </row>
    <row r="941" spans="17:19" x14ac:dyDescent="0.2">
      <c r="Q941" s="10"/>
      <c r="R941" s="10"/>
      <c r="S941" s="11"/>
    </row>
    <row r="942" spans="17:19" x14ac:dyDescent="0.2">
      <c r="Q942" s="10"/>
      <c r="R942" s="10"/>
      <c r="S942" s="11"/>
    </row>
    <row r="943" spans="17:19" x14ac:dyDescent="0.2">
      <c r="Q943" s="10"/>
      <c r="R943" s="10"/>
      <c r="S943" s="11"/>
    </row>
    <row r="944" spans="17:19" x14ac:dyDescent="0.2">
      <c r="Q944" s="10"/>
      <c r="R944" s="10"/>
      <c r="S944" s="11"/>
    </row>
    <row r="945" spans="17:19" x14ac:dyDescent="0.2">
      <c r="Q945" s="10"/>
      <c r="R945" s="10"/>
      <c r="S945" s="11"/>
    </row>
    <row r="946" spans="17:19" x14ac:dyDescent="0.2">
      <c r="Q946" s="10"/>
      <c r="R946" s="10"/>
      <c r="S946" s="11"/>
    </row>
    <row r="947" spans="17:19" x14ac:dyDescent="0.2">
      <c r="Q947" s="10"/>
      <c r="R947" s="10"/>
      <c r="S947" s="11"/>
    </row>
    <row r="948" spans="17:19" x14ac:dyDescent="0.2">
      <c r="Q948" s="10"/>
      <c r="R948" s="10"/>
      <c r="S948" s="11"/>
    </row>
    <row r="949" spans="17:19" x14ac:dyDescent="0.2">
      <c r="Q949" s="10"/>
      <c r="R949" s="10"/>
      <c r="S949" s="11"/>
    </row>
    <row r="950" spans="17:19" x14ac:dyDescent="0.2">
      <c r="Q950" s="10"/>
      <c r="R950" s="10"/>
      <c r="S950" s="11"/>
    </row>
    <row r="951" spans="17:19" x14ac:dyDescent="0.2">
      <c r="Q951" s="10"/>
      <c r="R951" s="10"/>
      <c r="S951" s="11"/>
    </row>
    <row r="952" spans="17:19" x14ac:dyDescent="0.2">
      <c r="Q952" s="10"/>
      <c r="R952" s="10"/>
      <c r="S952" s="11"/>
    </row>
    <row r="953" spans="17:19" x14ac:dyDescent="0.2">
      <c r="Q953" s="10"/>
      <c r="R953" s="10"/>
      <c r="S953" s="11"/>
    </row>
    <row r="954" spans="17:19" x14ac:dyDescent="0.2">
      <c r="Q954" s="10"/>
      <c r="R954" s="10"/>
      <c r="S954" s="11"/>
    </row>
    <row r="955" spans="17:19" x14ac:dyDescent="0.2">
      <c r="Q955" s="10"/>
      <c r="R955" s="10"/>
      <c r="S955" s="11"/>
    </row>
    <row r="956" spans="17:19" x14ac:dyDescent="0.2">
      <c r="Q956" s="10"/>
      <c r="R956" s="10"/>
      <c r="S956" s="11"/>
    </row>
    <row r="957" spans="17:19" x14ac:dyDescent="0.2">
      <c r="Q957" s="10"/>
      <c r="R957" s="10"/>
      <c r="S957" s="11"/>
    </row>
    <row r="958" spans="17:19" x14ac:dyDescent="0.2">
      <c r="Q958" s="10"/>
      <c r="R958" s="10"/>
      <c r="S958" s="11"/>
    </row>
    <row r="959" spans="17:19" x14ac:dyDescent="0.2">
      <c r="Q959" s="10"/>
      <c r="R959" s="10"/>
      <c r="S959" s="11"/>
    </row>
    <row r="960" spans="17:19" x14ac:dyDescent="0.2">
      <c r="Q960" s="10"/>
      <c r="R960" s="10"/>
      <c r="S960" s="11"/>
    </row>
    <row r="961" spans="17:19" x14ac:dyDescent="0.2">
      <c r="Q961" s="10"/>
      <c r="R961" s="10"/>
      <c r="S961" s="11"/>
    </row>
    <row r="962" spans="17:19" x14ac:dyDescent="0.2">
      <c r="Q962" s="10"/>
      <c r="R962" s="10"/>
      <c r="S962" s="11"/>
    </row>
    <row r="963" spans="17:19" x14ac:dyDescent="0.2">
      <c r="Q963" s="10"/>
      <c r="R963" s="10"/>
      <c r="S963" s="11"/>
    </row>
    <row r="964" spans="17:19" x14ac:dyDescent="0.2">
      <c r="Q964" s="10"/>
      <c r="R964" s="10"/>
      <c r="S964" s="11"/>
    </row>
    <row r="965" spans="17:19" x14ac:dyDescent="0.2">
      <c r="Q965" s="10"/>
      <c r="R965" s="10"/>
      <c r="S965" s="11"/>
    </row>
    <row r="966" spans="17:19" x14ac:dyDescent="0.2">
      <c r="Q966" s="10"/>
      <c r="R966" s="10"/>
      <c r="S966" s="11"/>
    </row>
    <row r="967" spans="17:19" x14ac:dyDescent="0.2">
      <c r="Q967" s="10"/>
      <c r="R967" s="10"/>
      <c r="S967" s="11"/>
    </row>
    <row r="968" spans="17:19" x14ac:dyDescent="0.2">
      <c r="Q968" s="10"/>
      <c r="R968" s="10"/>
      <c r="S968" s="11"/>
    </row>
    <row r="969" spans="17:19" x14ac:dyDescent="0.2">
      <c r="Q969" s="10"/>
      <c r="R969" s="10"/>
      <c r="S969" s="11"/>
    </row>
    <row r="970" spans="17:19" x14ac:dyDescent="0.2">
      <c r="Q970" s="10"/>
      <c r="R970" s="10"/>
      <c r="S970" s="11"/>
    </row>
    <row r="971" spans="17:19" x14ac:dyDescent="0.2">
      <c r="Q971" s="10"/>
      <c r="R971" s="10"/>
      <c r="S971" s="11"/>
    </row>
    <row r="972" spans="17:19" x14ac:dyDescent="0.2">
      <c r="Q972" s="10"/>
      <c r="R972" s="10"/>
      <c r="S972" s="11"/>
    </row>
    <row r="973" spans="17:19" x14ac:dyDescent="0.2">
      <c r="Q973" s="10"/>
      <c r="R973" s="10"/>
      <c r="S973" s="11"/>
    </row>
    <row r="974" spans="17:19" x14ac:dyDescent="0.2">
      <c r="Q974" s="10"/>
      <c r="R974" s="10"/>
      <c r="S974" s="11"/>
    </row>
    <row r="975" spans="17:19" x14ac:dyDescent="0.2">
      <c r="Q975" s="10"/>
      <c r="R975" s="10"/>
      <c r="S975" s="11"/>
    </row>
    <row r="976" spans="17:19" x14ac:dyDescent="0.2">
      <c r="Q976" s="10"/>
      <c r="R976" s="10"/>
      <c r="S976" s="11"/>
    </row>
    <row r="977" spans="17:19" x14ac:dyDescent="0.2">
      <c r="Q977" s="10"/>
      <c r="R977" s="10"/>
      <c r="S977" s="11"/>
    </row>
    <row r="978" spans="17:19" x14ac:dyDescent="0.2">
      <c r="Q978" s="10"/>
      <c r="R978" s="10"/>
      <c r="S978" s="11"/>
    </row>
    <row r="979" spans="17:19" x14ac:dyDescent="0.2">
      <c r="Q979" s="10"/>
      <c r="R979" s="10"/>
      <c r="S979" s="11"/>
    </row>
    <row r="980" spans="17:19" x14ac:dyDescent="0.2">
      <c r="Q980" s="10"/>
      <c r="R980" s="10"/>
      <c r="S980" s="11"/>
    </row>
    <row r="981" spans="17:19" x14ac:dyDescent="0.2">
      <c r="Q981" s="10"/>
      <c r="R981" s="10"/>
      <c r="S981" s="11"/>
    </row>
    <row r="982" spans="17:19" x14ac:dyDescent="0.2">
      <c r="Q982" s="10"/>
      <c r="R982" s="10"/>
      <c r="S982" s="11"/>
    </row>
    <row r="983" spans="17:19" x14ac:dyDescent="0.2">
      <c r="Q983" s="10"/>
      <c r="R983" s="10"/>
      <c r="S983" s="11"/>
    </row>
    <row r="984" spans="17:19" x14ac:dyDescent="0.2">
      <c r="Q984" s="10"/>
      <c r="R984" s="10"/>
      <c r="S984" s="11"/>
    </row>
    <row r="985" spans="17:19" x14ac:dyDescent="0.2">
      <c r="Q985" s="10"/>
      <c r="R985" s="10"/>
      <c r="S985" s="11"/>
    </row>
    <row r="986" spans="17:19" x14ac:dyDescent="0.2">
      <c r="Q986" s="10"/>
      <c r="R986" s="10"/>
      <c r="S986" s="11"/>
    </row>
    <row r="987" spans="17:19" x14ac:dyDescent="0.2">
      <c r="Q987" s="10"/>
      <c r="R987" s="10"/>
      <c r="S987" s="11"/>
    </row>
    <row r="988" spans="17:19" x14ac:dyDescent="0.2">
      <c r="Q988" s="10"/>
      <c r="R988" s="10"/>
      <c r="S988" s="11"/>
    </row>
    <row r="989" spans="17:19" x14ac:dyDescent="0.2">
      <c r="Q989" s="10"/>
      <c r="R989" s="10"/>
      <c r="S989" s="11"/>
    </row>
    <row r="990" spans="17:19" x14ac:dyDescent="0.2">
      <c r="Q990" s="10"/>
      <c r="R990" s="10"/>
      <c r="S990" s="11"/>
    </row>
    <row r="991" spans="17:19" x14ac:dyDescent="0.2">
      <c r="Q991" s="10"/>
      <c r="R991" s="10"/>
      <c r="S991" s="11"/>
    </row>
    <row r="992" spans="17:19" x14ac:dyDescent="0.2">
      <c r="Q992" s="10"/>
      <c r="R992" s="10"/>
      <c r="S992" s="11"/>
    </row>
    <row r="993" spans="17:19" x14ac:dyDescent="0.2">
      <c r="Q993" s="10"/>
      <c r="R993" s="10"/>
      <c r="S993" s="11"/>
    </row>
    <row r="994" spans="17:19" x14ac:dyDescent="0.2">
      <c r="Q994" s="10"/>
      <c r="R994" s="10"/>
      <c r="S994" s="11"/>
    </row>
    <row r="995" spans="17:19" x14ac:dyDescent="0.2">
      <c r="Q995" s="10"/>
      <c r="R995" s="10"/>
      <c r="S995" s="11"/>
    </row>
    <row r="996" spans="17:19" x14ac:dyDescent="0.2">
      <c r="Q996" s="10"/>
      <c r="R996" s="10"/>
      <c r="S996" s="11"/>
    </row>
    <row r="997" spans="17:19" x14ac:dyDescent="0.2">
      <c r="Q997" s="10"/>
      <c r="R997" s="10"/>
      <c r="S997" s="11"/>
    </row>
    <row r="998" spans="17:19" x14ac:dyDescent="0.2">
      <c r="Q998" s="10"/>
      <c r="R998" s="10"/>
      <c r="S998" s="11"/>
    </row>
    <row r="999" spans="17:19" x14ac:dyDescent="0.2">
      <c r="Q999" s="10"/>
      <c r="R999" s="10"/>
      <c r="S999" s="11"/>
    </row>
    <row r="1000" spans="17:19" x14ac:dyDescent="0.2">
      <c r="Q1000" s="10"/>
      <c r="R1000" s="10"/>
      <c r="S1000" s="11"/>
    </row>
    <row r="1001" spans="17:19" x14ac:dyDescent="0.2">
      <c r="Q1001" s="10"/>
      <c r="R1001" s="10"/>
      <c r="S1001" s="11"/>
    </row>
    <row r="1002" spans="17:19" x14ac:dyDescent="0.2">
      <c r="Q1002" s="10"/>
      <c r="R1002" s="10"/>
      <c r="S1002" s="11"/>
    </row>
    <row r="1003" spans="17:19" x14ac:dyDescent="0.2">
      <c r="Q1003" s="10"/>
      <c r="R1003" s="10"/>
      <c r="S1003" s="11"/>
    </row>
    <row r="1004" spans="17:19" x14ac:dyDescent="0.2">
      <c r="Q1004" s="10"/>
      <c r="R1004" s="10"/>
      <c r="S1004" s="11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225"/>
  <sheetViews>
    <sheetView topLeftCell="K321" workbookViewId="0">
      <selection activeCell="U359" sqref="U359"/>
    </sheetView>
  </sheetViews>
  <sheetFormatPr defaultColWidth="9.140625" defaultRowHeight="12.75" x14ac:dyDescent="0.2"/>
  <cols>
    <col min="1" max="1" width="13" style="31" customWidth="1"/>
    <col min="2" max="2" width="21.7109375" style="31" bestFit="1" customWidth="1"/>
    <col min="3" max="3" width="13" style="32" customWidth="1"/>
    <col min="4" max="4" width="12.7109375" style="32" bestFit="1" customWidth="1"/>
    <col min="5" max="9" width="9.140625" style="31"/>
    <col min="10" max="10" width="21.7109375" style="31" bestFit="1" customWidth="1"/>
    <col min="11" max="11" width="12.28515625" style="32" customWidth="1"/>
    <col min="12" max="12" width="11.28515625" style="32" bestFit="1" customWidth="1"/>
    <col min="13" max="19" width="9.140625" style="31"/>
    <col min="20" max="21" width="11.28515625" style="31" bestFit="1" customWidth="1"/>
    <col min="22" max="16384" width="9.140625" style="31"/>
  </cols>
  <sheetData>
    <row r="1" spans="1:30" x14ac:dyDescent="0.2">
      <c r="A1" s="30"/>
      <c r="T1" s="33"/>
      <c r="U1" s="34"/>
    </row>
    <row r="2" spans="1:30" ht="13.5" thickBot="1" x14ac:dyDescent="0.25">
      <c r="B2" s="30" t="s">
        <v>8</v>
      </c>
      <c r="C2" s="35"/>
      <c r="D2" s="36"/>
      <c r="E2" s="37"/>
      <c r="F2" s="38"/>
      <c r="G2" s="38"/>
      <c r="H2" s="38"/>
      <c r="I2" s="38"/>
      <c r="K2" s="36"/>
      <c r="L2" s="36"/>
      <c r="M2" s="38"/>
      <c r="N2" s="38"/>
      <c r="O2" s="38"/>
      <c r="P2" s="38"/>
      <c r="T2" s="39"/>
      <c r="U2" s="40"/>
      <c r="AD2" s="41"/>
    </row>
    <row r="3" spans="1:30" x14ac:dyDescent="0.2">
      <c r="B3" s="31">
        <v>145.94</v>
      </c>
      <c r="C3" s="36"/>
      <c r="D3" s="36"/>
      <c r="E3" s="38"/>
      <c r="F3" s="38"/>
      <c r="G3" s="38"/>
      <c r="H3" s="38"/>
      <c r="I3" s="38"/>
      <c r="K3" s="36"/>
      <c r="L3" s="36"/>
      <c r="M3" s="38"/>
      <c r="N3" s="38"/>
      <c r="O3" s="38"/>
      <c r="P3" s="38"/>
    </row>
    <row r="4" spans="1:30" x14ac:dyDescent="0.2">
      <c r="B4" s="42"/>
      <c r="C4" s="43"/>
      <c r="D4" s="43"/>
      <c r="E4" s="44"/>
      <c r="F4" s="44"/>
      <c r="G4" s="44"/>
      <c r="H4" s="44"/>
      <c r="I4" s="44"/>
      <c r="J4" s="42"/>
      <c r="K4" s="43"/>
      <c r="L4" s="43"/>
      <c r="M4" s="44"/>
      <c r="N4" s="44"/>
      <c r="O4" s="44"/>
      <c r="P4" s="44"/>
    </row>
    <row r="5" spans="1:30" x14ac:dyDescent="0.2">
      <c r="A5" s="30" t="s">
        <v>17</v>
      </c>
      <c r="B5" s="30" t="s">
        <v>0</v>
      </c>
      <c r="C5" s="35" t="s">
        <v>10</v>
      </c>
      <c r="D5" s="35" t="s">
        <v>11</v>
      </c>
      <c r="E5" s="45" t="s">
        <v>12</v>
      </c>
      <c r="F5" s="45" t="s">
        <v>13</v>
      </c>
      <c r="G5" s="45" t="s">
        <v>14</v>
      </c>
      <c r="H5" s="45" t="s">
        <v>15</v>
      </c>
      <c r="I5" s="45" t="s">
        <v>16</v>
      </c>
      <c r="J5" s="30" t="s">
        <v>0</v>
      </c>
      <c r="K5" s="35" t="s">
        <v>10</v>
      </c>
      <c r="L5" s="35" t="s">
        <v>11</v>
      </c>
      <c r="M5" s="45" t="s">
        <v>12</v>
      </c>
      <c r="N5" s="45" t="s">
        <v>13</v>
      </c>
      <c r="O5" s="45" t="s">
        <v>14</v>
      </c>
      <c r="P5" s="45" t="s">
        <v>15</v>
      </c>
      <c r="Q5" s="45" t="s">
        <v>16</v>
      </c>
      <c r="R5" s="30" t="s">
        <v>42</v>
      </c>
      <c r="S5" s="30" t="s">
        <v>43</v>
      </c>
      <c r="T5" s="31" t="s">
        <v>44</v>
      </c>
      <c r="U5" s="31" t="s">
        <v>45</v>
      </c>
    </row>
    <row r="6" spans="1:30" x14ac:dyDescent="0.2">
      <c r="A6" s="31">
        <v>0.75373441140194597</v>
      </c>
      <c r="B6" s="28" t="s">
        <v>1127</v>
      </c>
      <c r="C6" s="32">
        <v>0</v>
      </c>
      <c r="D6" s="32">
        <v>0</v>
      </c>
      <c r="E6" s="31">
        <v>0.50000000052480864</v>
      </c>
      <c r="F6" s="31">
        <v>0</v>
      </c>
      <c r="G6" s="31">
        <v>0</v>
      </c>
      <c r="H6" s="31">
        <v>0</v>
      </c>
      <c r="I6" s="31">
        <v>0</v>
      </c>
      <c r="J6" s="47" t="s">
        <v>1128</v>
      </c>
      <c r="K6" s="32">
        <v>0.187596875</v>
      </c>
      <c r="L6" s="32">
        <v>0.29658813715858601</v>
      </c>
      <c r="M6" s="31">
        <v>0</v>
      </c>
      <c r="N6" s="31">
        <v>2.03303654259388E-17</v>
      </c>
      <c r="O6" s="31">
        <v>2.5787480616046302E-15</v>
      </c>
      <c r="P6" s="31">
        <v>-7.6192999748670444E-15</v>
      </c>
      <c r="Q6" s="31">
        <v>0</v>
      </c>
      <c r="R6" s="31">
        <v>0</v>
      </c>
      <c r="S6" s="31">
        <v>0</v>
      </c>
      <c r="T6" s="27" t="s">
        <v>47</v>
      </c>
      <c r="U6" s="26" t="s">
        <v>46</v>
      </c>
    </row>
    <row r="7" spans="1:30" x14ac:dyDescent="0.2">
      <c r="A7" s="31">
        <v>0.78799506646567086</v>
      </c>
      <c r="B7" s="28" t="s">
        <v>1129</v>
      </c>
      <c r="C7" s="32">
        <v>0</v>
      </c>
      <c r="D7" s="32">
        <v>0</v>
      </c>
      <c r="E7" s="31">
        <v>0.50000000052480864</v>
      </c>
      <c r="F7" s="31">
        <v>0</v>
      </c>
      <c r="G7" s="31">
        <v>0</v>
      </c>
      <c r="H7" s="31">
        <v>0</v>
      </c>
      <c r="I7" s="31">
        <v>0</v>
      </c>
      <c r="J7" s="47" t="s">
        <v>1130</v>
      </c>
      <c r="K7" s="32">
        <v>0.187596875</v>
      </c>
      <c r="L7" s="32">
        <v>0.24972439734605656</v>
      </c>
      <c r="M7" s="31">
        <v>-4.4586556668946287E-13</v>
      </c>
      <c r="N7" s="31">
        <v>6.6099806237661004E-13</v>
      </c>
      <c r="O7" s="31">
        <v>8.3842441410488714E-11</v>
      </c>
      <c r="P7" s="31">
        <v>-2.475748245133732E-10</v>
      </c>
      <c r="Q7" s="31">
        <v>-2.0746791171100077E-12</v>
      </c>
      <c r="R7" s="31">
        <v>0</v>
      </c>
      <c r="S7" s="31">
        <v>2.9320990080350384E-13</v>
      </c>
      <c r="T7" s="27" t="s">
        <v>47</v>
      </c>
      <c r="U7" s="26" t="s">
        <v>46</v>
      </c>
    </row>
    <row r="8" spans="1:30" x14ac:dyDescent="0.2">
      <c r="A8" s="31">
        <v>0.82225572152939563</v>
      </c>
      <c r="B8" s="28" t="s">
        <v>1131</v>
      </c>
      <c r="C8" s="32">
        <v>0</v>
      </c>
      <c r="D8" s="32">
        <v>0</v>
      </c>
      <c r="E8" s="31">
        <v>0.50000000052480864</v>
      </c>
      <c r="F8" s="31">
        <v>0</v>
      </c>
      <c r="G8" s="31">
        <v>0</v>
      </c>
      <c r="H8" s="31">
        <v>0</v>
      </c>
      <c r="I8" s="31">
        <v>0</v>
      </c>
      <c r="J8" s="47" t="s">
        <v>1132</v>
      </c>
      <c r="K8" s="32">
        <v>0</v>
      </c>
      <c r="L8" s="32">
        <v>0.21189698470201829</v>
      </c>
      <c r="M8" s="31">
        <v>-0.50000000052480864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27" t="s">
        <v>47</v>
      </c>
      <c r="U8" s="26" t="s">
        <v>46</v>
      </c>
    </row>
    <row r="9" spans="1:30" x14ac:dyDescent="0.2">
      <c r="A9" s="31">
        <v>0.85651637659312052</v>
      </c>
      <c r="B9" s="28" t="s">
        <v>1133</v>
      </c>
      <c r="C9" s="32">
        <v>0</v>
      </c>
      <c r="D9" s="32">
        <v>0</v>
      </c>
      <c r="E9" s="31">
        <v>0.50000000052480864</v>
      </c>
      <c r="F9" s="31">
        <v>0</v>
      </c>
      <c r="G9" s="31">
        <v>0</v>
      </c>
      <c r="H9" s="31">
        <v>0</v>
      </c>
      <c r="I9" s="31">
        <v>0</v>
      </c>
      <c r="J9" s="47" t="s">
        <v>1134</v>
      </c>
      <c r="K9" s="32">
        <v>0.187596875</v>
      </c>
      <c r="L9" s="32">
        <v>0.15900563146948329</v>
      </c>
      <c r="M9" s="31">
        <v>-1.6405130283114744E-6</v>
      </c>
      <c r="N9" s="31">
        <v>1.6296878362016342E-6</v>
      </c>
      <c r="O9" s="31">
        <v>2.0671317315643114E-4</v>
      </c>
      <c r="P9" s="31">
        <v>-6.1021092519517278E-4</v>
      </c>
      <c r="Q9" s="31">
        <v>-7.6509781386195438E-6</v>
      </c>
      <c r="R9" s="31">
        <v>0</v>
      </c>
      <c r="S9" s="31">
        <v>1.5974119661477104E-6</v>
      </c>
      <c r="T9" s="27" t="s">
        <v>47</v>
      </c>
      <c r="U9" s="26" t="s">
        <v>46</v>
      </c>
    </row>
    <row r="10" spans="1:30" x14ac:dyDescent="0.2">
      <c r="A10" s="31">
        <v>0.87707276963135539</v>
      </c>
      <c r="B10" s="46" t="s">
        <v>1135</v>
      </c>
      <c r="C10" s="32">
        <v>0</v>
      </c>
      <c r="D10" s="32">
        <v>5.2522459475522346E-3</v>
      </c>
      <c r="E10" s="31">
        <v>0.50000000052480864</v>
      </c>
      <c r="F10" s="31">
        <v>0</v>
      </c>
      <c r="G10" s="31">
        <v>0</v>
      </c>
      <c r="H10" s="31">
        <v>0</v>
      </c>
      <c r="I10" s="31">
        <v>0</v>
      </c>
      <c r="J10" s="29" t="s">
        <v>1136</v>
      </c>
      <c r="K10" s="32">
        <v>9.3848437499999993E-2</v>
      </c>
      <c r="L10" s="32">
        <v>0.13642889005293254</v>
      </c>
      <c r="M10" s="31">
        <v>-1.9984014443252818E-15</v>
      </c>
      <c r="N10" s="31">
        <v>6.4382632613117077E-15</v>
      </c>
      <c r="O10" s="31">
        <v>4.0853936306618335E-13</v>
      </c>
      <c r="P10" s="31">
        <v>-6.0321364728763711E-13</v>
      </c>
      <c r="Q10" s="31">
        <v>-9.0221061175358984E-15</v>
      </c>
      <c r="R10" s="31">
        <v>0</v>
      </c>
      <c r="S10" s="31">
        <v>0</v>
      </c>
      <c r="T10" s="26" t="s">
        <v>46</v>
      </c>
      <c r="U10" s="27" t="s">
        <v>47</v>
      </c>
    </row>
    <row r="11" spans="1:30" x14ac:dyDescent="0.2">
      <c r="A11" s="31">
        <v>0.8907770316568453</v>
      </c>
      <c r="B11" s="46" t="s">
        <v>1137</v>
      </c>
      <c r="C11" s="32">
        <v>0.55285186519622809</v>
      </c>
      <c r="D11" s="32">
        <v>0.55285207902351197</v>
      </c>
      <c r="E11" s="31">
        <v>0.88955610267832741</v>
      </c>
      <c r="F11" s="31">
        <v>1.3117964366140593E-2</v>
      </c>
      <c r="G11" s="31">
        <v>4.9035810273464469</v>
      </c>
      <c r="H11" s="31">
        <v>-42.957589384690927</v>
      </c>
      <c r="I11" s="31">
        <v>3.589581645536887</v>
      </c>
      <c r="J11" s="47" t="s">
        <v>1138</v>
      </c>
      <c r="K11" s="32">
        <v>0.27404410362243659</v>
      </c>
      <c r="L11" s="32">
        <v>0.27404674271863932</v>
      </c>
      <c r="M11" s="31">
        <v>-8.3175298532576214E-3</v>
      </c>
      <c r="N11" s="31">
        <v>3.1830681886179362E-3</v>
      </c>
      <c r="O11" s="31">
        <v>0.58979968260673543</v>
      </c>
      <c r="P11" s="31">
        <v>-2.5428523518551414</v>
      </c>
      <c r="Q11" s="31">
        <v>-3.9170078658872023E-2</v>
      </c>
      <c r="R11" s="31">
        <v>16.749998951480308</v>
      </c>
      <c r="S11" s="31">
        <v>1.9998443419747103E-2</v>
      </c>
      <c r="T11" s="26" t="s">
        <v>46</v>
      </c>
      <c r="U11" s="26" t="s">
        <v>46</v>
      </c>
    </row>
    <row r="12" spans="1:30" x14ac:dyDescent="0.2">
      <c r="A12" s="31">
        <v>0.90448129368233521</v>
      </c>
      <c r="B12" s="46" t="s">
        <v>1139</v>
      </c>
      <c r="C12" s="32">
        <v>0.49960625452995311</v>
      </c>
      <c r="D12" s="32">
        <v>0.49960656045628099</v>
      </c>
      <c r="E12" s="31">
        <v>0.8796286723503236</v>
      </c>
      <c r="F12" s="31">
        <v>1.5431788904512448E-2</v>
      </c>
      <c r="G12" s="31">
        <v>5.2129345291767999</v>
      </c>
      <c r="H12" s="31">
        <v>-41.28086438143832</v>
      </c>
      <c r="I12" s="31">
        <v>3.6070798003606019</v>
      </c>
      <c r="J12" s="47" t="s">
        <v>1140</v>
      </c>
      <c r="K12" s="32">
        <v>0.25518455467224122</v>
      </c>
      <c r="L12" s="32">
        <v>0.25518839624059569</v>
      </c>
      <c r="M12" s="31">
        <v>-1.2794863881558816E-2</v>
      </c>
      <c r="N12" s="31">
        <v>4.9759754672181406E-3</v>
      </c>
      <c r="O12" s="31">
        <v>0.85856018632654552</v>
      </c>
      <c r="P12" s="31">
        <v>-3.4463242153159399</v>
      </c>
      <c r="Q12" s="31">
        <v>-6.0231068256611578E-2</v>
      </c>
      <c r="R12" s="31">
        <v>14.749998405225455</v>
      </c>
      <c r="S12" s="31">
        <v>2.9996701661138214E-2</v>
      </c>
      <c r="T12" s="26" t="s">
        <v>46</v>
      </c>
      <c r="U12" s="26" t="s">
        <v>46</v>
      </c>
    </row>
    <row r="13" spans="1:30" x14ac:dyDescent="0.2">
      <c r="A13" s="31">
        <v>0.91133342469508016</v>
      </c>
      <c r="B13" s="46" t="s">
        <v>1141</v>
      </c>
      <c r="C13" s="32">
        <v>0</v>
      </c>
      <c r="D13" s="32">
        <v>0</v>
      </c>
      <c r="E13" s="31">
        <v>0.50000000052480864</v>
      </c>
      <c r="F13" s="31">
        <v>0</v>
      </c>
      <c r="G13" s="31">
        <v>0</v>
      </c>
      <c r="H13" s="31">
        <v>0</v>
      </c>
      <c r="I13" s="31">
        <v>0</v>
      </c>
      <c r="J13" s="47" t="s">
        <v>1142</v>
      </c>
      <c r="K13" s="32">
        <v>0.24845554084777835</v>
      </c>
      <c r="L13" s="32">
        <v>0.24846133900356904</v>
      </c>
      <c r="M13" s="31">
        <v>-1.6955021302491935E-2</v>
      </c>
      <c r="N13" s="31">
        <v>6.5109958122520992E-3</v>
      </c>
      <c r="O13" s="31">
        <v>1.0937907153002628</v>
      </c>
      <c r="P13" s="31">
        <v>-4.2744110868762748</v>
      </c>
      <c r="Q13" s="31">
        <v>-7.9822527190561474E-2</v>
      </c>
      <c r="R13" s="31">
        <v>0</v>
      </c>
      <c r="S13" s="31">
        <v>3.9993657705020946E-2</v>
      </c>
      <c r="T13" s="26" t="s">
        <v>46</v>
      </c>
      <c r="U13" s="26" t="s">
        <v>46</v>
      </c>
    </row>
    <row r="14" spans="1:30" x14ac:dyDescent="0.2">
      <c r="A14" s="31">
        <v>0.91818555570782512</v>
      </c>
      <c r="B14" s="28" t="s">
        <v>1143</v>
      </c>
      <c r="C14" s="32">
        <v>0</v>
      </c>
      <c r="D14" s="32">
        <v>0</v>
      </c>
      <c r="E14" s="31">
        <v>0.50000000052480864</v>
      </c>
      <c r="F14" s="31">
        <v>0</v>
      </c>
      <c r="G14" s="31">
        <v>0</v>
      </c>
      <c r="H14" s="31">
        <v>0</v>
      </c>
      <c r="I14" s="31">
        <v>0</v>
      </c>
      <c r="J14" s="47" t="s">
        <v>1144</v>
      </c>
      <c r="K14" s="32">
        <v>0.25266689643859863</v>
      </c>
      <c r="L14" s="32">
        <v>0.25266285281272371</v>
      </c>
      <c r="M14" s="31">
        <v>-2.7420172188807879E-2</v>
      </c>
      <c r="N14" s="31">
        <v>9.6102804537546872E-3</v>
      </c>
      <c r="O14" s="31">
        <v>1.6418086431116099</v>
      </c>
      <c r="P14" s="31">
        <v>-6.5242185086620523</v>
      </c>
      <c r="Q14" s="31">
        <v>-0.12926056804576225</v>
      </c>
      <c r="R14" s="31">
        <v>0</v>
      </c>
      <c r="S14" s="31">
        <v>7.000663866865886E-2</v>
      </c>
      <c r="T14" s="27" t="s">
        <v>47</v>
      </c>
      <c r="U14" s="26" t="s">
        <v>46</v>
      </c>
    </row>
    <row r="15" spans="1:30" x14ac:dyDescent="0.2">
      <c r="A15" s="31">
        <v>0.92503768672057007</v>
      </c>
      <c r="B15" s="28" t="s">
        <v>1145</v>
      </c>
      <c r="C15" s="32">
        <v>0</v>
      </c>
      <c r="D15" s="32">
        <v>0</v>
      </c>
      <c r="E15" s="31">
        <v>0.50000000052480864</v>
      </c>
      <c r="F15" s="31">
        <v>0</v>
      </c>
      <c r="G15" s="31">
        <v>0</v>
      </c>
      <c r="H15" s="31">
        <v>0</v>
      </c>
      <c r="I15" s="31">
        <v>0</v>
      </c>
      <c r="J15" s="47" t="s">
        <v>1146</v>
      </c>
      <c r="K15" s="32">
        <v>0.20494582901000974</v>
      </c>
      <c r="L15" s="32">
        <v>0.20494116558549691</v>
      </c>
      <c r="M15" s="31">
        <v>-1.5614712627047611E-2</v>
      </c>
      <c r="N15" s="31">
        <v>7.3556915750060698E-3</v>
      </c>
      <c r="O15" s="31">
        <v>1.0192969509519165</v>
      </c>
      <c r="P15" s="31">
        <v>-3.28487509680616</v>
      </c>
      <c r="Q15" s="31">
        <v>-7.3295741369749645E-2</v>
      </c>
      <c r="R15" s="31">
        <v>0</v>
      </c>
      <c r="S15" s="31">
        <v>3.00047531676505E-2</v>
      </c>
      <c r="T15" s="27" t="s">
        <v>47</v>
      </c>
      <c r="U15" s="26" t="s">
        <v>46</v>
      </c>
    </row>
    <row r="16" spans="1:30" x14ac:dyDescent="0.2">
      <c r="A16" s="31">
        <v>0.93188981773331503</v>
      </c>
      <c r="B16" s="46" t="s">
        <v>1147</v>
      </c>
      <c r="C16" s="32">
        <v>0.40794632897377014</v>
      </c>
      <c r="D16" s="32">
        <v>0.40794531397521216</v>
      </c>
      <c r="E16" s="31">
        <v>0.84323418562446295</v>
      </c>
      <c r="F16" s="31">
        <v>2.2631993885193054E-2</v>
      </c>
      <c r="G16" s="31">
        <v>6.2425779857962906</v>
      </c>
      <c r="H16" s="31">
        <v>-40.367615836921345</v>
      </c>
      <c r="I16" s="31">
        <v>3.5622728484714559</v>
      </c>
      <c r="J16" s="47" t="s">
        <v>1148</v>
      </c>
      <c r="K16" s="32">
        <v>0.23846501522064206</v>
      </c>
      <c r="L16" s="32">
        <v>0.23846171375703168</v>
      </c>
      <c r="M16" s="31">
        <v>-4.6168111442616455E-2</v>
      </c>
      <c r="N16" s="31">
        <v>1.5604597366232502E-2</v>
      </c>
      <c r="O16" s="31">
        <v>2.5160274263271947</v>
      </c>
      <c r="P16" s="31">
        <v>-9.4339832624987441</v>
      </c>
      <c r="Q16" s="31">
        <v>-0.21770744109410303</v>
      </c>
      <c r="R16" s="31">
        <v>10.850006336200209</v>
      </c>
      <c r="S16" s="31">
        <v>0.1200083064142019</v>
      </c>
      <c r="T16" s="26" t="s">
        <v>46</v>
      </c>
      <c r="U16" s="26" t="s">
        <v>46</v>
      </c>
    </row>
    <row r="17" spans="1:21" x14ac:dyDescent="0.2">
      <c r="A17" s="31">
        <v>0.93874194874605998</v>
      </c>
      <c r="B17" s="46" t="s">
        <v>1149</v>
      </c>
      <c r="C17" s="32">
        <v>0.37199817476272584</v>
      </c>
      <c r="D17" s="32">
        <v>0.37199818159754666</v>
      </c>
      <c r="E17" s="31">
        <v>0.83842042758610436</v>
      </c>
      <c r="F17" s="31">
        <v>2.5315639678385998E-2</v>
      </c>
      <c r="G17" s="31">
        <v>6.367483741047157</v>
      </c>
      <c r="H17" s="31">
        <v>-37.565790075642575</v>
      </c>
      <c r="I17" s="31">
        <v>3.5733041546416051</v>
      </c>
      <c r="J17" s="47" t="s">
        <v>1150</v>
      </c>
      <c r="K17" s="32">
        <v>0.22552196311950684</v>
      </c>
      <c r="L17" s="32">
        <v>0.22551975316036588</v>
      </c>
      <c r="M17" s="31">
        <v>-5.5343917127068543E-2</v>
      </c>
      <c r="N17" s="31">
        <v>1.9063320798373921E-2</v>
      </c>
      <c r="O17" s="31">
        <v>2.9068694630610721</v>
      </c>
      <c r="P17" s="31">
        <v>-10.306216929970855</v>
      </c>
      <c r="Q17" s="31">
        <v>-0.26085394804143069</v>
      </c>
      <c r="R17" s="31">
        <v>9.7999999564793825</v>
      </c>
      <c r="S17" s="31">
        <v>0.14000642398470153</v>
      </c>
      <c r="T17" s="26" t="s">
        <v>46</v>
      </c>
      <c r="U17" s="26" t="s">
        <v>46</v>
      </c>
    </row>
    <row r="18" spans="1:21" x14ac:dyDescent="0.2">
      <c r="A18" s="31">
        <v>0.94559407975880505</v>
      </c>
      <c r="B18" s="46" t="s">
        <v>1151</v>
      </c>
      <c r="C18" s="32">
        <v>0.34380040254592897</v>
      </c>
      <c r="D18" s="32">
        <v>0.34379930121229207</v>
      </c>
      <c r="E18" s="31">
        <v>0.82768653781965495</v>
      </c>
      <c r="F18" s="31">
        <v>2.8552296451648633E-2</v>
      </c>
      <c r="G18" s="31">
        <v>6.6372099418365265</v>
      </c>
      <c r="H18" s="31">
        <v>-36.197121243147841</v>
      </c>
      <c r="I18" s="31">
        <v>3.5553196553529181</v>
      </c>
      <c r="J18" s="47" t="s">
        <v>1152</v>
      </c>
      <c r="K18" s="32">
        <v>0.22504131927490234</v>
      </c>
      <c r="L18" s="32">
        <v>0.22504221986152367</v>
      </c>
      <c r="M18" s="31">
        <v>-7.8234342214083652E-2</v>
      </c>
      <c r="N18" s="31">
        <v>2.4979917186166593E-2</v>
      </c>
      <c r="O18" s="31">
        <v>3.8009432854156548</v>
      </c>
      <c r="P18" s="31">
        <v>-13.445323050695817</v>
      </c>
      <c r="Q18" s="31">
        <v>-0.36912752889934208</v>
      </c>
      <c r="R18" s="31">
        <v>8.8000073097727949</v>
      </c>
      <c r="S18" s="31">
        <v>0.20999657690794549</v>
      </c>
      <c r="T18" s="26" t="s">
        <v>46</v>
      </c>
      <c r="U18" s="26" t="s">
        <v>46</v>
      </c>
    </row>
    <row r="19" spans="1:21" x14ac:dyDescent="0.2">
      <c r="A19" s="31">
        <v>0.95244621077155001</v>
      </c>
      <c r="B19" s="28" t="s">
        <v>1153</v>
      </c>
      <c r="C19" s="32">
        <v>0</v>
      </c>
      <c r="D19" s="32">
        <v>0</v>
      </c>
      <c r="E19" s="31">
        <v>0.50000000052480864</v>
      </c>
      <c r="F19" s="31">
        <v>0</v>
      </c>
      <c r="G19" s="31">
        <v>0</v>
      </c>
      <c r="H19" s="31">
        <v>0</v>
      </c>
      <c r="I19" s="31">
        <v>0</v>
      </c>
      <c r="J19" s="47" t="s">
        <v>1154</v>
      </c>
      <c r="K19" s="32">
        <v>0.21218123545646667</v>
      </c>
      <c r="L19" s="32">
        <v>0.21218107195474292</v>
      </c>
      <c r="M19" s="31">
        <v>-9.5167581777379606E-2</v>
      </c>
      <c r="N19" s="31">
        <v>3.0674087072029611E-2</v>
      </c>
      <c r="O19" s="31">
        <v>4.4006491996936576</v>
      </c>
      <c r="P19" s="31">
        <v>-14.673810006115247</v>
      </c>
      <c r="Q19" s="31">
        <v>-0.44884943973170222</v>
      </c>
      <c r="R19" s="31">
        <v>0</v>
      </c>
      <c r="S19" s="31">
        <v>0.2500007195132482</v>
      </c>
      <c r="T19" s="27" t="s">
        <v>47</v>
      </c>
      <c r="U19" s="26" t="s">
        <v>46</v>
      </c>
    </row>
    <row r="20" spans="1:21" x14ac:dyDescent="0.2">
      <c r="A20" s="31">
        <v>0.95929834178429496</v>
      </c>
      <c r="B20" s="46" t="s">
        <v>1155</v>
      </c>
      <c r="C20" s="32">
        <v>0.33822150077819824</v>
      </c>
      <c r="D20" s="32">
        <v>0.3382222962149023</v>
      </c>
      <c r="E20" s="31">
        <v>0.76450858320820159</v>
      </c>
      <c r="F20" s="31">
        <v>3.498204025538889E-2</v>
      </c>
      <c r="G20" s="31">
        <v>7.9998985128432958</v>
      </c>
      <c r="H20" s="31">
        <v>-42.855424969195568</v>
      </c>
      <c r="I20" s="31">
        <v>3.3134091383461888</v>
      </c>
      <c r="J20" s="47" t="s">
        <v>1156</v>
      </c>
      <c r="K20" s="32">
        <v>0.21218695740699769</v>
      </c>
      <c r="L20" s="32">
        <v>0.21218684631068913</v>
      </c>
      <c r="M20" s="31">
        <v>-0.13136906638825474</v>
      </c>
      <c r="N20" s="31">
        <v>3.8619845106981715E-2</v>
      </c>
      <c r="O20" s="31">
        <v>5.5407345365073182</v>
      </c>
      <c r="P20" s="31">
        <v>-18.471881147996768</v>
      </c>
      <c r="Q20" s="31">
        <v>-0.62038096410823906</v>
      </c>
      <c r="R20" s="31">
        <v>7.1999936365835424</v>
      </c>
      <c r="S20" s="31">
        <v>0.37000061555500041</v>
      </c>
      <c r="T20" s="26" t="s">
        <v>46</v>
      </c>
      <c r="U20" s="26" t="s">
        <v>46</v>
      </c>
    </row>
    <row r="21" spans="1:21" x14ac:dyDescent="0.2">
      <c r="A21" s="31">
        <v>0.96615047279703992</v>
      </c>
      <c r="B21" s="46" t="s">
        <v>1157</v>
      </c>
      <c r="C21" s="32">
        <v>0.13001688680648804</v>
      </c>
      <c r="D21" s="32">
        <v>0.130017986075849</v>
      </c>
      <c r="E21" s="31">
        <v>0.93335226123044557</v>
      </c>
      <c r="F21" s="31">
        <v>3.8239013558322911E-2</v>
      </c>
      <c r="G21" s="31">
        <v>3.3615886851522876</v>
      </c>
      <c r="H21" s="31">
        <v>-7.1854227986285055</v>
      </c>
      <c r="I21" s="31">
        <v>4.1639184740055759</v>
      </c>
      <c r="J21" s="47" t="s">
        <v>1158</v>
      </c>
      <c r="K21" s="32">
        <v>0.20889969682693477</v>
      </c>
      <c r="L21" s="32">
        <v>0.20889997068283045</v>
      </c>
      <c r="M21" s="31">
        <v>-0.17213753990076675</v>
      </c>
      <c r="N21" s="31">
        <v>4.6959832745223813E-2</v>
      </c>
      <c r="O21" s="31">
        <v>6.6328852068724782</v>
      </c>
      <c r="P21" s="31">
        <v>-21.764368391477788</v>
      </c>
      <c r="Q21" s="31">
        <v>-0.81370631025080209</v>
      </c>
      <c r="R21" s="31">
        <v>5.0499963046738685</v>
      </c>
      <c r="S21" s="31">
        <v>0.50999818354426008</v>
      </c>
      <c r="T21" s="26" t="s">
        <v>46</v>
      </c>
      <c r="U21" s="26" t="s">
        <v>46</v>
      </c>
    </row>
    <row r="22" spans="1:21" x14ac:dyDescent="0.2">
      <c r="A22" s="31">
        <v>0.97300260380978487</v>
      </c>
      <c r="B22" s="46" t="s">
        <v>1159</v>
      </c>
      <c r="C22" s="32">
        <v>0.13130146470069884</v>
      </c>
      <c r="D22" s="32">
        <v>0.13130116446675025</v>
      </c>
      <c r="E22" s="31">
        <v>0.88192928618368938</v>
      </c>
      <c r="F22" s="31">
        <v>5.7924062922979053E-2</v>
      </c>
      <c r="G22" s="31">
        <v>5.1424102113119314</v>
      </c>
      <c r="H22" s="31">
        <v>-10.920979533541672</v>
      </c>
      <c r="I22" s="31">
        <v>3.9542463265362739</v>
      </c>
      <c r="J22" s="47" t="s">
        <v>1160</v>
      </c>
      <c r="K22" s="32">
        <v>0.20525195336341859</v>
      </c>
      <c r="L22" s="32">
        <v>0.20525156208542275</v>
      </c>
      <c r="M22" s="31">
        <v>-0.22104843071328506</v>
      </c>
      <c r="N22" s="31">
        <v>5.5629588124663183E-2</v>
      </c>
      <c r="O22" s="31">
        <v>7.7202483899815135</v>
      </c>
      <c r="P22" s="31">
        <v>-24.881603419490197</v>
      </c>
      <c r="Q22" s="31">
        <v>-1.0460257391037551</v>
      </c>
      <c r="R22" s="31">
        <v>4.150001543923679</v>
      </c>
      <c r="S22" s="31">
        <v>0.69000302076167519</v>
      </c>
      <c r="T22" s="26" t="s">
        <v>46</v>
      </c>
      <c r="U22" s="26" t="s">
        <v>46</v>
      </c>
    </row>
    <row r="23" spans="1:21" x14ac:dyDescent="0.2">
      <c r="A23" s="31">
        <v>0.97985473482252983</v>
      </c>
      <c r="B23" s="46" t="s">
        <v>1161</v>
      </c>
      <c r="C23" s="32">
        <v>0.13733812251091004</v>
      </c>
      <c r="D23" s="32">
        <v>0.13733783553047896</v>
      </c>
      <c r="E23" s="31">
        <v>0.8014703522367459</v>
      </c>
      <c r="F23" s="31">
        <v>7.8047487264393742E-2</v>
      </c>
      <c r="G23" s="31">
        <v>7.2474989586236935</v>
      </c>
      <c r="H23" s="31">
        <v>-15.938205061638048</v>
      </c>
      <c r="I23" s="31">
        <v>3.6068756186732314</v>
      </c>
      <c r="J23" s="47" t="s">
        <v>1162</v>
      </c>
      <c r="K23" s="32">
        <v>0.20380716085433959</v>
      </c>
      <c r="L23" s="32">
        <v>0.20380678270821218</v>
      </c>
      <c r="M23" s="31">
        <v>-0.28075628401081731</v>
      </c>
      <c r="N23" s="31">
        <v>6.3602324011896735E-2</v>
      </c>
      <c r="O23" s="31">
        <v>8.7645687909975436</v>
      </c>
      <c r="P23" s="31">
        <v>-28.037538403035796</v>
      </c>
      <c r="Q23" s="31">
        <v>-1.3305897737051722</v>
      </c>
      <c r="R23" s="31">
        <v>3.3500020798888386</v>
      </c>
      <c r="S23" s="31">
        <v>0.94000331428679884</v>
      </c>
      <c r="T23" s="26" t="s">
        <v>46</v>
      </c>
      <c r="U23" s="26" t="s">
        <v>46</v>
      </c>
    </row>
    <row r="24" spans="1:21" x14ac:dyDescent="0.2">
      <c r="A24" s="31">
        <v>0.98670686583527478</v>
      </c>
      <c r="B24" s="46" t="s">
        <v>1163</v>
      </c>
      <c r="C24" s="32">
        <v>0.13517808618545529</v>
      </c>
      <c r="D24" s="32">
        <v>0.13517888095979178</v>
      </c>
      <c r="E24" s="31">
        <v>0.71589707398383107</v>
      </c>
      <c r="F24" s="31">
        <v>9.6440897848460383E-2</v>
      </c>
      <c r="G24" s="31">
        <v>8.8146620945692575</v>
      </c>
      <c r="H24" s="31">
        <v>-19.001264604887329</v>
      </c>
      <c r="I24" s="31">
        <v>3.2348579147078826</v>
      </c>
      <c r="J24" s="47" t="s">
        <v>1164</v>
      </c>
      <c r="K24" s="32">
        <v>0.20513465337753295</v>
      </c>
      <c r="L24" s="32">
        <v>0.20513471771955827</v>
      </c>
      <c r="M24" s="31">
        <v>-0.34959589226296095</v>
      </c>
      <c r="N24" s="31">
        <v>6.9411083268519955E-2</v>
      </c>
      <c r="O24" s="31">
        <v>9.6273327858646205</v>
      </c>
      <c r="P24" s="31">
        <v>-30.984378231838523</v>
      </c>
      <c r="Q24" s="31">
        <v>-1.6603182653252875</v>
      </c>
      <c r="R24" s="31">
        <v>2.5799929943263464</v>
      </c>
      <c r="S24" s="31">
        <v>1.2799993805579017</v>
      </c>
      <c r="T24" s="26" t="s">
        <v>46</v>
      </c>
      <c r="U24" s="26" t="s">
        <v>46</v>
      </c>
    </row>
    <row r="25" spans="1:21" x14ac:dyDescent="0.2">
      <c r="A25" s="31">
        <v>0.99355899684801974</v>
      </c>
      <c r="B25" s="46" t="s">
        <v>1165</v>
      </c>
      <c r="C25" s="32">
        <v>0.13476610574722292</v>
      </c>
      <c r="D25" s="32">
        <v>0.13476616210717926</v>
      </c>
      <c r="E25" s="31">
        <v>0.61185497100273345</v>
      </c>
      <c r="F25" s="31">
        <v>0.10933940415598915</v>
      </c>
      <c r="G25" s="31">
        <v>9.9631234585262067</v>
      </c>
      <c r="H25" s="31">
        <v>-21.34834922286942</v>
      </c>
      <c r="I25" s="31">
        <v>2.7737814619107199</v>
      </c>
      <c r="J25" s="47" t="s">
        <v>1166</v>
      </c>
      <c r="K25" s="32">
        <v>0.202239346408844</v>
      </c>
      <c r="L25" s="32">
        <v>0.20223965250530684</v>
      </c>
      <c r="M25" s="31">
        <v>-0.42098661664166903</v>
      </c>
      <c r="N25" s="31">
        <v>7.4369365816985278E-2</v>
      </c>
      <c r="O25" s="31">
        <v>10.169459268223962</v>
      </c>
      <c r="P25" s="31">
        <v>-32.247366340138562</v>
      </c>
      <c r="Q25" s="31">
        <v>-2.0028183950143363</v>
      </c>
      <c r="R25" s="31">
        <v>1.9199994384787828</v>
      </c>
      <c r="S25" s="31">
        <v>1.6499968871644302</v>
      </c>
      <c r="T25" s="26" t="s">
        <v>46</v>
      </c>
      <c r="U25" s="26" t="s">
        <v>46</v>
      </c>
    </row>
    <row r="26" spans="1:21" x14ac:dyDescent="0.2">
      <c r="A26" s="31">
        <v>1.0004111278607648</v>
      </c>
      <c r="B26" s="46" t="s">
        <v>1167</v>
      </c>
      <c r="C26" s="32">
        <v>0.13441134481430056</v>
      </c>
      <c r="D26" s="32">
        <v>0.13441138427470448</v>
      </c>
      <c r="E26" s="31">
        <v>0.49914610793899417</v>
      </c>
      <c r="F26" s="31">
        <v>0.11414426072887632</v>
      </c>
      <c r="G26" s="31">
        <v>10.37356747215364</v>
      </c>
      <c r="H26" s="31">
        <v>-22.125014549908624</v>
      </c>
      <c r="I26" s="31">
        <v>2.2690595894721617</v>
      </c>
      <c r="J26" s="47" t="s">
        <v>1168</v>
      </c>
      <c r="K26" s="32">
        <v>0.21641547884941098</v>
      </c>
      <c r="L26" s="32">
        <v>0.21641524612209598</v>
      </c>
      <c r="M26" s="31">
        <v>-0.49580578541602294</v>
      </c>
      <c r="N26" s="31">
        <v>7.088897207812131E-2</v>
      </c>
      <c r="O26" s="31">
        <v>10.373017937487713</v>
      </c>
      <c r="P26" s="31">
        <v>-35.185241701269263</v>
      </c>
      <c r="Q26" s="31">
        <v>-2.3691399944228686</v>
      </c>
      <c r="R26" s="31">
        <v>1.3699995906548423</v>
      </c>
      <c r="S26" s="31">
        <v>2.2700024140846162</v>
      </c>
      <c r="T26" s="26" t="s">
        <v>46</v>
      </c>
      <c r="U26" s="26" t="s">
        <v>46</v>
      </c>
    </row>
    <row r="27" spans="1:21" x14ac:dyDescent="0.2">
      <c r="A27" s="31">
        <v>1.0072632588735098</v>
      </c>
      <c r="B27" s="46" t="s">
        <v>1169</v>
      </c>
      <c r="C27" s="32">
        <v>0.13272050843238828</v>
      </c>
      <c r="D27" s="32">
        <v>0.13272110009542915</v>
      </c>
      <c r="E27" s="31">
        <v>0.38547704349281264</v>
      </c>
      <c r="F27" s="31">
        <v>0.11080226207320633</v>
      </c>
      <c r="G27" s="31">
        <v>9.943168371701649</v>
      </c>
      <c r="H27" s="31">
        <v>-20.911956206697017</v>
      </c>
      <c r="I27" s="31">
        <v>1.7567151082115373</v>
      </c>
      <c r="J27" s="47" t="s">
        <v>1170</v>
      </c>
      <c r="K27" s="32">
        <v>0.22361083164215084</v>
      </c>
      <c r="L27" s="32">
        <v>0.22361166582396286</v>
      </c>
      <c r="M27" s="31">
        <v>-0.5635164263567316</v>
      </c>
      <c r="N27" s="31">
        <v>6.7740248660588365E-2</v>
      </c>
      <c r="O27" s="31">
        <v>10.241834492533169</v>
      </c>
      <c r="P27" s="31">
        <v>-35.874617752507852</v>
      </c>
      <c r="Q27" s="31">
        <v>-2.7025261567111225</v>
      </c>
      <c r="R27" s="31">
        <v>0.91999411699355704</v>
      </c>
      <c r="S27" s="31">
        <v>2.8899914564474383</v>
      </c>
      <c r="T27" s="26" t="s">
        <v>46</v>
      </c>
      <c r="U27" s="26" t="s">
        <v>46</v>
      </c>
    </row>
    <row r="28" spans="1:21" x14ac:dyDescent="0.2">
      <c r="A28" s="31">
        <v>1.0141153898862547</v>
      </c>
      <c r="B28" s="46" t="s">
        <v>1171</v>
      </c>
      <c r="C28" s="32">
        <v>0.13202815241813656</v>
      </c>
      <c r="D28" s="32">
        <v>0.13202701847513168</v>
      </c>
      <c r="E28" s="31">
        <v>0.28062672680933765</v>
      </c>
      <c r="F28" s="31">
        <v>9.8158726762523352E-2</v>
      </c>
      <c r="G28" s="31">
        <v>8.7626122092298004</v>
      </c>
      <c r="H28" s="31">
        <v>-18.314194832656995</v>
      </c>
      <c r="I28" s="31">
        <v>1.2814175608397178</v>
      </c>
      <c r="J28" s="47" t="s">
        <v>1172</v>
      </c>
      <c r="K28" s="32">
        <v>0.22341056337356563</v>
      </c>
      <c r="L28" s="32">
        <v>0.22341138139724442</v>
      </c>
      <c r="M28" s="31">
        <v>-0.62944653050742738</v>
      </c>
      <c r="N28" s="31">
        <v>6.5025593309059451E-2</v>
      </c>
      <c r="O28" s="31">
        <v>9.8225931779937188</v>
      </c>
      <c r="P28" s="31">
        <v>-34.343588176645362</v>
      </c>
      <c r="Q28" s="31">
        <v>-3.0273466582762518</v>
      </c>
      <c r="R28" s="31">
        <v>0.59000993628783505</v>
      </c>
      <c r="S28" s="31">
        <v>3.4999919648843831</v>
      </c>
      <c r="T28" s="26" t="s">
        <v>46</v>
      </c>
      <c r="U28" s="26" t="s">
        <v>46</v>
      </c>
    </row>
    <row r="29" spans="1:21" x14ac:dyDescent="0.2">
      <c r="A29" s="31">
        <v>1.0209675208989997</v>
      </c>
      <c r="B29" s="46" t="s">
        <v>1173</v>
      </c>
      <c r="C29" s="32">
        <v>0.13315251569747927</v>
      </c>
      <c r="D29" s="32">
        <v>0.13315238889195471</v>
      </c>
      <c r="E29" s="31">
        <v>0.19497163299701559</v>
      </c>
      <c r="F29" s="31">
        <v>7.9624011888813823E-2</v>
      </c>
      <c r="G29" s="31">
        <v>7.1685540164423784</v>
      </c>
      <c r="H29" s="31">
        <v>-15.098141837604878</v>
      </c>
      <c r="I29" s="31">
        <v>0.89156064409070013</v>
      </c>
      <c r="J29" s="47" t="s">
        <v>1174</v>
      </c>
      <c r="K29" s="32">
        <v>0.25824722869396211</v>
      </c>
      <c r="L29" s="32">
        <v>0.25824723983184494</v>
      </c>
      <c r="M29" s="31">
        <v>-0.66508526158502557</v>
      </c>
      <c r="N29" s="31">
        <v>5.4247232480921899E-2</v>
      </c>
      <c r="O29" s="31">
        <v>9.4722114981446364</v>
      </c>
      <c r="P29" s="31">
        <v>-38.293620954895417</v>
      </c>
      <c r="Q29" s="31">
        <v>-3.2242078238484027</v>
      </c>
      <c r="R29" s="31">
        <v>0.37000090901193872</v>
      </c>
      <c r="S29" s="31">
        <v>4.4999998944996173</v>
      </c>
      <c r="T29" s="26" t="s">
        <v>46</v>
      </c>
      <c r="U29" s="26" t="s">
        <v>46</v>
      </c>
    </row>
    <row r="30" spans="1:21" x14ac:dyDescent="0.2">
      <c r="A30" s="31">
        <v>1.0278196519117446</v>
      </c>
      <c r="B30" s="46" t="s">
        <v>1175</v>
      </c>
      <c r="C30" s="32">
        <v>0.13381054000854492</v>
      </c>
      <c r="D30" s="32">
        <v>0.13381056458611817</v>
      </c>
      <c r="E30" s="31">
        <v>0.12799190453773079</v>
      </c>
      <c r="F30" s="31">
        <v>6.0145761649512457E-2</v>
      </c>
      <c r="G30" s="31">
        <v>5.4416860512834191</v>
      </c>
      <c r="H30" s="31">
        <v>-11.510896469195533</v>
      </c>
      <c r="I30" s="31">
        <v>0.5860044333764336</v>
      </c>
      <c r="J30" s="47" t="s">
        <v>1176</v>
      </c>
      <c r="K30" s="32">
        <v>0.25175138435363775</v>
      </c>
      <c r="L30" s="32">
        <v>0.25175159007236558</v>
      </c>
      <c r="M30" s="31">
        <v>-0.7216261506539281</v>
      </c>
      <c r="N30" s="31">
        <v>5.1277133121386917E-2</v>
      </c>
      <c r="O30" s="31">
        <v>8.7283817670049118</v>
      </c>
      <c r="P30" s="31">
        <v>-34.354702061519212</v>
      </c>
      <c r="Q30" s="31">
        <v>-3.5067974933989974</v>
      </c>
      <c r="R30" s="31">
        <v>0.21999986625655765</v>
      </c>
      <c r="S30" s="31">
        <v>5.1499982044081403</v>
      </c>
      <c r="T30" s="26" t="s">
        <v>46</v>
      </c>
      <c r="U30" s="26" t="s">
        <v>46</v>
      </c>
    </row>
    <row r="31" spans="1:21" x14ac:dyDescent="0.2">
      <c r="A31" s="31">
        <v>1.044949979443607</v>
      </c>
      <c r="B31" s="46" t="s">
        <v>1177</v>
      </c>
      <c r="C31" s="32">
        <v>0.14055099773406982</v>
      </c>
      <c r="D31" s="32">
        <v>0.14055426932443157</v>
      </c>
      <c r="E31" s="31">
        <v>4.090006444017702E-2</v>
      </c>
      <c r="F31" s="31">
        <v>2.4008714310213553E-2</v>
      </c>
      <c r="G31" s="31">
        <v>2.281607662665595</v>
      </c>
      <c r="H31" s="31">
        <v>-5.0643357884526363</v>
      </c>
      <c r="I31" s="31">
        <v>0.18758608700344284</v>
      </c>
      <c r="J31" s="47" t="s">
        <v>1178</v>
      </c>
      <c r="K31" s="32">
        <v>0.30370383419990543</v>
      </c>
      <c r="L31" s="32">
        <v>0.30370348047048279</v>
      </c>
      <c r="M31" s="31">
        <v>-0.78352334218052844</v>
      </c>
      <c r="N31" s="31">
        <v>3.7146643546966493E-2</v>
      </c>
      <c r="O31" s="31">
        <v>7.6279525576876326</v>
      </c>
      <c r="P31" s="31">
        <v>-36.206806397434534</v>
      </c>
      <c r="Q31" s="31">
        <v>-3.8681713552054977</v>
      </c>
      <c r="R31" s="31">
        <v>5.9992535247454626E-2</v>
      </c>
      <c r="S31" s="31">
        <v>7.5000026982302259</v>
      </c>
      <c r="T31" s="26" t="s">
        <v>46</v>
      </c>
      <c r="U31" s="26" t="s">
        <v>46</v>
      </c>
    </row>
    <row r="32" spans="1:21" x14ac:dyDescent="0.2">
      <c r="A32" s="31">
        <v>1.0620803069754694</v>
      </c>
      <c r="B32" s="46" t="s">
        <v>1179</v>
      </c>
      <c r="C32" s="32">
        <v>4.6974218749999998E-2</v>
      </c>
      <c r="D32" s="32">
        <v>6.2224451402629589E-2</v>
      </c>
      <c r="E32" s="31">
        <v>3.4261482539932331E-13</v>
      </c>
      <c r="F32" s="31">
        <v>2.0379814051316389E-12</v>
      </c>
      <c r="G32" s="31">
        <v>6.4728853250915826E-11</v>
      </c>
      <c r="H32" s="31">
        <v>-4.8004140921309599E-11</v>
      </c>
      <c r="I32" s="31">
        <v>1.5857937418660313E-12</v>
      </c>
      <c r="J32" s="47" t="s">
        <v>1180</v>
      </c>
      <c r="K32" s="32">
        <v>0.35973317379951486</v>
      </c>
      <c r="L32" s="32">
        <v>0.35973264215413087</v>
      </c>
      <c r="M32" s="31">
        <v>-0.81766509548733657</v>
      </c>
      <c r="N32" s="31">
        <v>2.8279414428431664E-2</v>
      </c>
      <c r="O32" s="31">
        <v>6.8784254052269675</v>
      </c>
      <c r="P32" s="31">
        <v>-38.674421276502329</v>
      </c>
      <c r="Q32" s="31">
        <v>-4.104128382394328</v>
      </c>
      <c r="R32" s="31">
        <v>5.5731866771708177E-14</v>
      </c>
      <c r="S32" s="31">
        <v>9.9500036568807371</v>
      </c>
      <c r="T32" s="26" t="s">
        <v>46</v>
      </c>
      <c r="U32" s="26" t="s">
        <v>46</v>
      </c>
    </row>
    <row r="33" spans="1:21" x14ac:dyDescent="0.2">
      <c r="A33" s="31">
        <v>1.0792106345073318</v>
      </c>
      <c r="B33" s="46" t="s">
        <v>1181</v>
      </c>
      <c r="C33" s="32">
        <v>9.3848437499999993E-2</v>
      </c>
      <c r="D33" s="32">
        <v>7.8495934588453831E-2</v>
      </c>
      <c r="E33" s="31">
        <v>2.7350685986027301E-6</v>
      </c>
      <c r="F33" s="31">
        <v>5.3170372883851449E-6</v>
      </c>
      <c r="G33" s="31">
        <v>3.3739207904857465E-4</v>
      </c>
      <c r="H33" s="31">
        <v>-4.996185582751317E-4</v>
      </c>
      <c r="I33" s="31">
        <v>1.2629082659277096E-5</v>
      </c>
      <c r="J33" s="29" t="s">
        <v>1182</v>
      </c>
      <c r="K33" s="32">
        <v>0</v>
      </c>
      <c r="L33" s="32">
        <v>0</v>
      </c>
      <c r="M33" s="31">
        <v>-0.50000000052480864</v>
      </c>
      <c r="N33" s="31">
        <v>0</v>
      </c>
      <c r="O33" s="31">
        <v>0</v>
      </c>
      <c r="P33" s="31">
        <v>0</v>
      </c>
      <c r="Q33" s="31">
        <v>0</v>
      </c>
      <c r="R33" s="31">
        <v>1.3461562898828879E-6</v>
      </c>
      <c r="S33" s="31">
        <v>0</v>
      </c>
      <c r="T33" s="26" t="s">
        <v>46</v>
      </c>
      <c r="U33" s="27" t="s">
        <v>47</v>
      </c>
    </row>
    <row r="34" spans="1:21" x14ac:dyDescent="0.2">
      <c r="A34" s="31">
        <v>1.0963409620391942</v>
      </c>
      <c r="B34" s="46" t="s">
        <v>1183</v>
      </c>
      <c r="C34" s="32">
        <v>9.3848437499999993E-2</v>
      </c>
      <c r="D34" s="32">
        <v>9.7550237976071041E-2</v>
      </c>
      <c r="E34" s="31">
        <v>2.0385085841567729E-8</v>
      </c>
      <c r="F34" s="31">
        <v>4.7162573599990914E-8</v>
      </c>
      <c r="G34" s="31">
        <v>2.9926964768409827E-6</v>
      </c>
      <c r="H34" s="31">
        <v>-4.4303663701577105E-6</v>
      </c>
      <c r="I34" s="31">
        <v>9.4177087798935301E-8</v>
      </c>
      <c r="J34" s="29" t="s">
        <v>1184</v>
      </c>
      <c r="K34" s="32">
        <v>0</v>
      </c>
      <c r="L34" s="32">
        <v>0</v>
      </c>
      <c r="M34" s="31">
        <v>-0.50000000052480864</v>
      </c>
      <c r="N34" s="31">
        <v>0</v>
      </c>
      <c r="O34" s="31">
        <v>0</v>
      </c>
      <c r="P34" s="31">
        <v>0</v>
      </c>
      <c r="Q34" s="31">
        <v>0</v>
      </c>
      <c r="R34" s="31">
        <v>8.4991777118010492E-9</v>
      </c>
      <c r="S34" s="31">
        <v>0</v>
      </c>
      <c r="T34" s="26" t="s">
        <v>46</v>
      </c>
      <c r="U34" s="27" t="s">
        <v>47</v>
      </c>
    </row>
    <row r="35" spans="1:21" x14ac:dyDescent="0.2">
      <c r="A35" s="31">
        <v>1.1134712895710566</v>
      </c>
      <c r="B35" s="46" t="s">
        <v>1185</v>
      </c>
      <c r="C35" s="32">
        <v>9.3848437499999993E-2</v>
      </c>
      <c r="D35" s="32">
        <v>0.11355039552361991</v>
      </c>
      <c r="E35" s="31">
        <v>7.0684680331112304E-11</v>
      </c>
      <c r="F35" s="31">
        <v>1.8924838800269151E-10</v>
      </c>
      <c r="G35" s="31">
        <v>1.2008737878197538E-8</v>
      </c>
      <c r="H35" s="31">
        <v>-1.7773938535077632E-8</v>
      </c>
      <c r="I35" s="31">
        <v>3.2668429506062108E-10</v>
      </c>
      <c r="J35" s="29" t="s">
        <v>1186</v>
      </c>
      <c r="K35" s="32">
        <v>0</v>
      </c>
      <c r="L35" s="32">
        <v>0</v>
      </c>
      <c r="M35" s="31">
        <v>-0.50000000052480864</v>
      </c>
      <c r="N35" s="31">
        <v>0</v>
      </c>
      <c r="O35" s="31">
        <v>0</v>
      </c>
      <c r="P35" s="31">
        <v>0</v>
      </c>
      <c r="Q35" s="31">
        <v>0</v>
      </c>
      <c r="R35" s="31">
        <v>2.5534895103642011E-11</v>
      </c>
      <c r="S35" s="31">
        <v>0</v>
      </c>
      <c r="T35" s="26" t="s">
        <v>46</v>
      </c>
      <c r="U35" s="27" t="s">
        <v>47</v>
      </c>
    </row>
    <row r="36" spans="1:21" x14ac:dyDescent="0.2">
      <c r="A36" s="31">
        <v>1.130601617102919</v>
      </c>
      <c r="B36" s="46" t="s">
        <v>1187</v>
      </c>
      <c r="C36" s="32">
        <v>9.3848437499999993E-2</v>
      </c>
      <c r="D36" s="32">
        <v>0.12915924220978514</v>
      </c>
      <c r="E36" s="31">
        <v>1.1757261830780408E-13</v>
      </c>
      <c r="F36" s="31">
        <v>3.5661117023819713E-13</v>
      </c>
      <c r="G36" s="31">
        <v>2.2628726791410678E-11</v>
      </c>
      <c r="H36" s="31">
        <v>-3.3487204213648209E-11</v>
      </c>
      <c r="I36" s="31">
        <v>5.4370524268861357E-13</v>
      </c>
      <c r="J36" s="29" t="s">
        <v>1188</v>
      </c>
      <c r="K36" s="32">
        <v>0</v>
      </c>
      <c r="L36" s="32">
        <v>0</v>
      </c>
      <c r="M36" s="31">
        <v>-0.50000000052480864</v>
      </c>
      <c r="N36" s="31">
        <v>0</v>
      </c>
      <c r="O36" s="31">
        <v>0</v>
      </c>
      <c r="P36" s="31">
        <v>0</v>
      </c>
      <c r="Q36" s="31">
        <v>0</v>
      </c>
      <c r="R36" s="31">
        <v>3.7437659942817336E-14</v>
      </c>
      <c r="S36" s="31">
        <v>0</v>
      </c>
      <c r="T36" s="26" t="s">
        <v>46</v>
      </c>
      <c r="U36" s="27" t="s">
        <v>47</v>
      </c>
    </row>
    <row r="37" spans="1:21" x14ac:dyDescent="0.2">
      <c r="A37" s="31">
        <v>1.1477319446347813</v>
      </c>
      <c r="B37" s="46" t="s">
        <v>1189</v>
      </c>
      <c r="C37" s="32">
        <v>9.3848437499999993E-2</v>
      </c>
      <c r="D37" s="32">
        <v>0.14438471758257429</v>
      </c>
      <c r="E37" s="31">
        <v>1.1102230246251565E-16</v>
      </c>
      <c r="F37" s="31">
        <v>3.2689243562689334E-16</v>
      </c>
      <c r="G37" s="31">
        <v>2.0742927404766558E-14</v>
      </c>
      <c r="H37" s="31">
        <v>-3.0703156605434845E-14</v>
      </c>
      <c r="I37" s="31">
        <v>5.9031358386221208E-16</v>
      </c>
      <c r="J37" s="29" t="s">
        <v>1190</v>
      </c>
      <c r="K37" s="32">
        <v>0</v>
      </c>
      <c r="L37" s="32">
        <v>0</v>
      </c>
      <c r="M37" s="31">
        <v>-0.50000000052480864</v>
      </c>
      <c r="N37" s="31">
        <v>0</v>
      </c>
      <c r="O37" s="31">
        <v>0</v>
      </c>
      <c r="P37" s="31">
        <v>0</v>
      </c>
      <c r="Q37" s="31">
        <v>0</v>
      </c>
      <c r="R37" s="31">
        <v>2.7515542278678481E-17</v>
      </c>
      <c r="S37" s="31">
        <v>0</v>
      </c>
      <c r="T37" s="26" t="s">
        <v>46</v>
      </c>
      <c r="U37" s="27" t="s">
        <v>47</v>
      </c>
    </row>
    <row r="38" spans="1:21" x14ac:dyDescent="0.2">
      <c r="A38" s="31">
        <v>0.78799506646567086</v>
      </c>
      <c r="B38" s="28" t="s">
        <v>1191</v>
      </c>
      <c r="C38" s="32">
        <v>0</v>
      </c>
      <c r="D38" s="32">
        <v>0</v>
      </c>
      <c r="E38" s="31">
        <v>0.50000000052480864</v>
      </c>
      <c r="F38" s="31">
        <v>0</v>
      </c>
      <c r="G38" s="31">
        <v>0</v>
      </c>
      <c r="H38" s="31">
        <v>0</v>
      </c>
      <c r="I38" s="31">
        <v>0</v>
      </c>
      <c r="J38" s="47" t="s">
        <v>1192</v>
      </c>
      <c r="K38" s="32">
        <v>0.187596875</v>
      </c>
      <c r="L38" s="32">
        <v>0.19413427431147248</v>
      </c>
      <c r="M38" s="31">
        <v>-9.7977395085990793E-9</v>
      </c>
      <c r="N38" s="31">
        <v>9.0892413565991604E-9</v>
      </c>
      <c r="O38" s="31">
        <v>1.8734613194560723E-6</v>
      </c>
      <c r="P38" s="31">
        <v>-3.4031025637833087E-6</v>
      </c>
      <c r="Q38" s="31">
        <v>-7.4289648373541019E-8</v>
      </c>
      <c r="R38" s="31">
        <v>0</v>
      </c>
      <c r="S38" s="31">
        <v>1.0294039065605887E-8</v>
      </c>
      <c r="T38" s="27" t="s">
        <v>47</v>
      </c>
      <c r="U38" s="26" t="s">
        <v>46</v>
      </c>
    </row>
    <row r="39" spans="1:21" x14ac:dyDescent="0.2">
      <c r="A39" s="31">
        <v>0.85651637659312052</v>
      </c>
      <c r="B39" s="46" t="s">
        <v>1193</v>
      </c>
      <c r="C39" s="32">
        <v>0.54578525629043595</v>
      </c>
      <c r="D39" s="32">
        <v>0.54578701239635041</v>
      </c>
      <c r="E39" s="31">
        <v>0.9052998251902401</v>
      </c>
      <c r="F39" s="31">
        <v>9.3208354615986842E-3</v>
      </c>
      <c r="G39" s="31">
        <v>5.5894379138462789</v>
      </c>
      <c r="H39" s="31">
        <v>-29.821406572592618</v>
      </c>
      <c r="I39" s="31">
        <v>5.6910836755815568</v>
      </c>
      <c r="J39" s="47" t="s">
        <v>1194</v>
      </c>
      <c r="K39" s="32">
        <v>9.3848437499999993E-2</v>
      </c>
      <c r="L39" s="32">
        <v>0.13379448950977571</v>
      </c>
      <c r="M39" s="31">
        <v>-1.6531220836668581E-13</v>
      </c>
      <c r="N39" s="31">
        <v>3.9101685958862069E-13</v>
      </c>
      <c r="O39" s="31">
        <v>4.0319396700063422E-11</v>
      </c>
      <c r="P39" s="31">
        <v>-3.6619215016908377E-11</v>
      </c>
      <c r="Q39" s="31">
        <v>-1.2476963714383878E-12</v>
      </c>
      <c r="R39" s="31">
        <v>21.799990184330412</v>
      </c>
      <c r="S39" s="31">
        <v>3.5860203695392556E-14</v>
      </c>
      <c r="T39" s="26" t="s">
        <v>46</v>
      </c>
      <c r="U39" s="26" t="s">
        <v>46</v>
      </c>
    </row>
    <row r="40" spans="1:21" x14ac:dyDescent="0.2">
      <c r="A40" s="31">
        <v>0.88392490064410034</v>
      </c>
      <c r="B40" s="28" t="s">
        <v>1195</v>
      </c>
      <c r="C40" s="32">
        <v>0</v>
      </c>
      <c r="D40" s="32">
        <v>0</v>
      </c>
      <c r="E40" s="31">
        <v>0.50000000052480864</v>
      </c>
      <c r="F40" s="31">
        <v>0</v>
      </c>
      <c r="G40" s="31">
        <v>0</v>
      </c>
      <c r="H40" s="31">
        <v>0</v>
      </c>
      <c r="I40" s="31">
        <v>0</v>
      </c>
      <c r="J40" s="47" t="s">
        <v>1196</v>
      </c>
      <c r="K40" s="32">
        <v>0.22769630432128907</v>
      </c>
      <c r="L40" s="32">
        <v>0.22769195710013801</v>
      </c>
      <c r="M40" s="31">
        <v>-7.8909100668399512E-3</v>
      </c>
      <c r="N40" s="31">
        <v>2.8693719386674249E-3</v>
      </c>
      <c r="O40" s="31">
        <v>0.71785102340803297</v>
      </c>
      <c r="P40" s="31">
        <v>-1.5815326374474747</v>
      </c>
      <c r="Q40" s="31">
        <v>-6.0439740638589617E-2</v>
      </c>
      <c r="R40" s="31">
        <v>0</v>
      </c>
      <c r="S40" s="31">
        <v>2.0003120487281367E-2</v>
      </c>
      <c r="T40" s="27" t="s">
        <v>47</v>
      </c>
      <c r="U40" s="26" t="s">
        <v>46</v>
      </c>
    </row>
    <row r="41" spans="1:21" x14ac:dyDescent="0.2">
      <c r="A41" s="31">
        <v>0.8907770316568453</v>
      </c>
      <c r="B41" s="28" t="s">
        <v>1197</v>
      </c>
      <c r="C41" s="32">
        <v>0</v>
      </c>
      <c r="D41" s="32">
        <v>0</v>
      </c>
      <c r="E41" s="31">
        <v>0.50000000052480864</v>
      </c>
      <c r="F41" s="31">
        <v>0</v>
      </c>
      <c r="G41" s="31">
        <v>0</v>
      </c>
      <c r="H41" s="31">
        <v>0</v>
      </c>
      <c r="I41" s="31">
        <v>0</v>
      </c>
      <c r="J41" s="47" t="s">
        <v>1198</v>
      </c>
      <c r="K41" s="32">
        <v>0.22655191421508789</v>
      </c>
      <c r="L41" s="32">
        <v>0.22655373795566597</v>
      </c>
      <c r="M41" s="31">
        <v>-1.1429392660471382E-2</v>
      </c>
      <c r="N41" s="31">
        <v>3.9870135254470741E-3</v>
      </c>
      <c r="O41" s="31">
        <v>0.99244612494466578</v>
      </c>
      <c r="P41" s="31">
        <v>-2.17531857311667</v>
      </c>
      <c r="Q41" s="31">
        <v>-8.7595391718232857E-2</v>
      </c>
      <c r="R41" s="31">
        <v>0</v>
      </c>
      <c r="S41" s="31">
        <v>2.9998189998849289E-2</v>
      </c>
      <c r="T41" s="27" t="s">
        <v>47</v>
      </c>
      <c r="U41" s="26" t="s">
        <v>46</v>
      </c>
    </row>
    <row r="42" spans="1:21" x14ac:dyDescent="0.2">
      <c r="A42" s="31">
        <v>0.91818555570782512</v>
      </c>
      <c r="B42" s="46" t="s">
        <v>1199</v>
      </c>
      <c r="C42" s="32">
        <v>0.3560797083854676</v>
      </c>
      <c r="D42" s="32">
        <v>0.35607944110990419</v>
      </c>
      <c r="E42" s="31">
        <v>0.86374442900728388</v>
      </c>
      <c r="F42" s="31">
        <v>1.851220138571804E-2</v>
      </c>
      <c r="G42" s="31">
        <v>7.2426381360639533</v>
      </c>
      <c r="H42" s="31">
        <v>-25.256525872632444</v>
      </c>
      <c r="I42" s="31">
        <v>5.842512836267729</v>
      </c>
      <c r="J42" s="47" t="s">
        <v>1200</v>
      </c>
      <c r="K42" s="32">
        <v>0.23126680145263673</v>
      </c>
      <c r="L42" s="32">
        <v>0.23126450379012159</v>
      </c>
      <c r="M42" s="31">
        <v>-4.9114224898228809E-2</v>
      </c>
      <c r="N42" s="31">
        <v>1.3263392427217694E-2</v>
      </c>
      <c r="O42" s="31">
        <v>3.370228979642782</v>
      </c>
      <c r="P42" s="31">
        <v>-7.537544783468431</v>
      </c>
      <c r="Q42" s="31">
        <v>-0.37801833474220214</v>
      </c>
      <c r="R42" s="31">
        <v>12.800001935779363</v>
      </c>
      <c r="S42" s="31">
        <v>0.16000774354694092</v>
      </c>
      <c r="T42" s="26" t="s">
        <v>46</v>
      </c>
      <c r="U42" s="26" t="s">
        <v>46</v>
      </c>
    </row>
    <row r="43" spans="1:21" x14ac:dyDescent="0.2">
      <c r="A43" s="31">
        <v>0.92503768672057007</v>
      </c>
      <c r="B43" s="28" t="s">
        <v>1201</v>
      </c>
      <c r="C43" s="32">
        <v>0</v>
      </c>
      <c r="D43" s="32">
        <v>0</v>
      </c>
      <c r="E43" s="31">
        <v>0.50000000052480864</v>
      </c>
      <c r="F43" s="31">
        <v>0</v>
      </c>
      <c r="G43" s="31">
        <v>0</v>
      </c>
      <c r="H43" s="31">
        <v>0</v>
      </c>
      <c r="I43" s="31">
        <v>0</v>
      </c>
      <c r="J43" s="47" t="s">
        <v>1202</v>
      </c>
      <c r="K43" s="32">
        <v>0.23745222997665405</v>
      </c>
      <c r="L43" s="32">
        <v>0.23745283613586265</v>
      </c>
      <c r="M43" s="31">
        <v>-7.0246288686268032E-2</v>
      </c>
      <c r="N43" s="31">
        <v>1.7105013508209452E-2</v>
      </c>
      <c r="O43" s="31">
        <v>4.4626329666786182</v>
      </c>
      <c r="P43" s="31">
        <v>-10.246417596149309</v>
      </c>
      <c r="Q43" s="31">
        <v>-0.54175653504194099</v>
      </c>
      <c r="R43" s="31">
        <v>0</v>
      </c>
      <c r="S43" s="31">
        <v>0.24999729492673517</v>
      </c>
      <c r="T43" s="27" t="s">
        <v>47</v>
      </c>
      <c r="U43" s="26" t="s">
        <v>46</v>
      </c>
    </row>
    <row r="44" spans="1:21" x14ac:dyDescent="0.2">
      <c r="A44" s="31">
        <v>0.93188981773331503</v>
      </c>
      <c r="B44" s="28" t="s">
        <v>1203</v>
      </c>
      <c r="C44" s="32">
        <v>0</v>
      </c>
      <c r="D44" s="32">
        <v>0</v>
      </c>
      <c r="E44" s="31">
        <v>0.50000000052480864</v>
      </c>
      <c r="F44" s="31">
        <v>0</v>
      </c>
      <c r="G44" s="31">
        <v>0</v>
      </c>
      <c r="H44" s="31">
        <v>0</v>
      </c>
      <c r="I44" s="31">
        <v>0</v>
      </c>
      <c r="J44" s="47" t="s">
        <v>1204</v>
      </c>
      <c r="K44" s="32">
        <v>0.23015388207435608</v>
      </c>
      <c r="L44" s="32">
        <v>0.23015447069496667</v>
      </c>
      <c r="M44" s="31">
        <v>-8.4127033918455552E-2</v>
      </c>
      <c r="N44" s="31">
        <v>2.023982655545687E-2</v>
      </c>
      <c r="O44" s="31">
        <v>5.118192151833024</v>
      </c>
      <c r="P44" s="31">
        <v>-11.388336827684588</v>
      </c>
      <c r="Q44" s="31">
        <v>-0.64883911560783247</v>
      </c>
      <c r="R44" s="31">
        <v>0</v>
      </c>
      <c r="S44" s="31">
        <v>0.29999698731958713</v>
      </c>
      <c r="T44" s="27" t="s">
        <v>47</v>
      </c>
      <c r="U44" s="26" t="s">
        <v>46</v>
      </c>
    </row>
    <row r="45" spans="1:21" x14ac:dyDescent="0.2">
      <c r="A45" s="31">
        <v>0.93874194874605998</v>
      </c>
      <c r="B45" s="28" t="s">
        <v>1205</v>
      </c>
      <c r="C45" s="32">
        <v>0</v>
      </c>
      <c r="D45" s="32">
        <v>0</v>
      </c>
      <c r="E45" s="31">
        <v>0.50000000052480864</v>
      </c>
      <c r="F45" s="31">
        <v>0</v>
      </c>
      <c r="G45" s="31">
        <v>0</v>
      </c>
      <c r="H45" s="31">
        <v>0</v>
      </c>
      <c r="I45" s="31">
        <v>0</v>
      </c>
      <c r="J45" s="47" t="s">
        <v>1206</v>
      </c>
      <c r="K45" s="32">
        <v>0.22438043398857113</v>
      </c>
      <c r="L45" s="32">
        <v>0.22437955076171293</v>
      </c>
      <c r="M45" s="31">
        <v>-0.10236179353541597</v>
      </c>
      <c r="N45" s="31">
        <v>2.4001030552818735E-2</v>
      </c>
      <c r="O45" s="31">
        <v>5.9170653913520761</v>
      </c>
      <c r="P45" s="31">
        <v>-12.833012045492664</v>
      </c>
      <c r="Q45" s="31">
        <v>-0.78973372211418347</v>
      </c>
      <c r="R45" s="31">
        <v>0</v>
      </c>
      <c r="S45" s="31">
        <v>0.37000522609517972</v>
      </c>
      <c r="T45" s="27" t="s">
        <v>47</v>
      </c>
      <c r="U45" s="26" t="s">
        <v>46</v>
      </c>
    </row>
    <row r="46" spans="1:21" x14ac:dyDescent="0.2">
      <c r="A46" s="31">
        <v>0.94559407975880505</v>
      </c>
      <c r="B46" s="46" t="s">
        <v>1207</v>
      </c>
      <c r="C46" s="32">
        <v>0.33452512073516849</v>
      </c>
      <c r="D46" s="32">
        <v>0.33452548025520873</v>
      </c>
      <c r="E46" s="31">
        <v>0.78107288439126266</v>
      </c>
      <c r="F46" s="31">
        <v>2.6627774172715977E-2</v>
      </c>
      <c r="G46" s="31">
        <v>9.7871241313192261</v>
      </c>
      <c r="H46" s="31">
        <v>-31.973548732574152</v>
      </c>
      <c r="I46" s="31">
        <v>5.395504540767198</v>
      </c>
      <c r="J46" s="47" t="s">
        <v>1208</v>
      </c>
      <c r="K46" s="32">
        <v>0.22206876597404476</v>
      </c>
      <c r="L46" s="32">
        <v>0.22206805681927722</v>
      </c>
      <c r="M46" s="31">
        <v>-0.12783383465673859</v>
      </c>
      <c r="N46" s="31">
        <v>2.840588212212708E-2</v>
      </c>
      <c r="O46" s="31">
        <v>6.9308620534724286</v>
      </c>
      <c r="P46" s="31">
        <v>-14.873689025834754</v>
      </c>
      <c r="Q46" s="31">
        <v>-0.98717834087076428</v>
      </c>
      <c r="R46" s="31">
        <v>9.3999964813316836</v>
      </c>
      <c r="S46" s="31">
        <v>0.48000491504420384</v>
      </c>
      <c r="T46" s="26" t="s">
        <v>46</v>
      </c>
      <c r="U46" s="26" t="s">
        <v>46</v>
      </c>
    </row>
    <row r="47" spans="1:21" x14ac:dyDescent="0.2">
      <c r="A47" s="31">
        <v>0.95244621077155001</v>
      </c>
      <c r="B47" s="28" t="s">
        <v>1209</v>
      </c>
      <c r="C47" s="32">
        <v>0</v>
      </c>
      <c r="D47" s="32">
        <v>0</v>
      </c>
      <c r="E47" s="31">
        <v>0.50000000052480864</v>
      </c>
      <c r="F47" s="31">
        <v>0</v>
      </c>
      <c r="G47" s="31">
        <v>0</v>
      </c>
      <c r="H47" s="31">
        <v>0</v>
      </c>
      <c r="I47" s="31">
        <v>0</v>
      </c>
      <c r="J47" s="47" t="s">
        <v>1210</v>
      </c>
      <c r="K47" s="32">
        <v>0.21764855918884274</v>
      </c>
      <c r="L47" s="32">
        <v>0.21764871199272492</v>
      </c>
      <c r="M47" s="31">
        <v>-0.15560085303599935</v>
      </c>
      <c r="N47" s="31">
        <v>3.3113803453655964E-2</v>
      </c>
      <c r="O47" s="31">
        <v>7.9187450105430965</v>
      </c>
      <c r="P47" s="31">
        <v>-16.651116385515788</v>
      </c>
      <c r="Q47" s="31">
        <v>-1.202416660612597</v>
      </c>
      <c r="R47" s="31">
        <v>0</v>
      </c>
      <c r="S47" s="31">
        <v>0.5999987899846021</v>
      </c>
      <c r="T47" s="27" t="s">
        <v>47</v>
      </c>
      <c r="U47" s="26" t="s">
        <v>46</v>
      </c>
    </row>
    <row r="48" spans="1:21" x14ac:dyDescent="0.2">
      <c r="A48" s="31">
        <v>0.95929834178429496</v>
      </c>
      <c r="B48" s="46" t="s">
        <v>1211</v>
      </c>
      <c r="C48" s="32">
        <v>0</v>
      </c>
      <c r="D48" s="32">
        <v>0</v>
      </c>
      <c r="E48" s="31">
        <v>0.50000000052480864</v>
      </c>
      <c r="F48" s="31">
        <v>0</v>
      </c>
      <c r="G48" s="31">
        <v>0</v>
      </c>
      <c r="H48" s="31">
        <v>0</v>
      </c>
      <c r="I48" s="31">
        <v>0</v>
      </c>
      <c r="J48" s="47" t="s">
        <v>1212</v>
      </c>
      <c r="K48" s="32">
        <v>0.21579893867969513</v>
      </c>
      <c r="L48" s="32">
        <v>0.21579873365573451</v>
      </c>
      <c r="M48" s="31">
        <v>-0.19086634793669943</v>
      </c>
      <c r="N48" s="31">
        <v>3.8042809648362895E-2</v>
      </c>
      <c r="O48" s="31">
        <v>9.0201421981844625</v>
      </c>
      <c r="P48" s="31">
        <v>-18.800599054794844</v>
      </c>
      <c r="Q48" s="31">
        <v>-1.4766883010569047</v>
      </c>
      <c r="R48" s="31">
        <v>0</v>
      </c>
      <c r="S48" s="31">
        <v>0.77000184934463656</v>
      </c>
      <c r="T48" s="26" t="s">
        <v>46</v>
      </c>
      <c r="U48" s="26" t="s">
        <v>46</v>
      </c>
    </row>
    <row r="49" spans="1:21" x14ac:dyDescent="0.2">
      <c r="A49" s="31">
        <v>0.96615047279703992</v>
      </c>
      <c r="B49" s="46" t="s">
        <v>1213</v>
      </c>
      <c r="C49" s="32">
        <v>0.29403087682724</v>
      </c>
      <c r="D49" s="32">
        <v>0.29403089937654808</v>
      </c>
      <c r="E49" s="31">
        <v>0.7091165112314689</v>
      </c>
      <c r="F49" s="31">
        <v>3.5171574031115913E-2</v>
      </c>
      <c r="G49" s="31">
        <v>11.362561296581905</v>
      </c>
      <c r="H49" s="31">
        <v>-32.603839339260404</v>
      </c>
      <c r="I49" s="31">
        <v>4.9878966868411494</v>
      </c>
      <c r="J49" s="47" t="s">
        <v>1214</v>
      </c>
      <c r="K49" s="32">
        <v>0.21323550484180451</v>
      </c>
      <c r="L49" s="32">
        <v>0.21323583034735871</v>
      </c>
      <c r="M49" s="31">
        <v>-0.23035461622731579</v>
      </c>
      <c r="N49" s="31">
        <v>4.2997146677461115E-2</v>
      </c>
      <c r="O49" s="31">
        <v>10.073737978131719</v>
      </c>
      <c r="P49" s="31">
        <v>-20.740286486835824</v>
      </c>
      <c r="Q49" s="31">
        <v>-1.7842990008924351</v>
      </c>
      <c r="R49" s="31">
        <v>6.7999997437821094</v>
      </c>
      <c r="S49" s="31">
        <v>0.96999672094107436</v>
      </c>
      <c r="T49" s="26" t="s">
        <v>46</v>
      </c>
      <c r="U49" s="26" t="s">
        <v>46</v>
      </c>
    </row>
    <row r="50" spans="1:21" x14ac:dyDescent="0.2">
      <c r="A50" s="31">
        <v>0.97300260380978487</v>
      </c>
      <c r="B50" s="46" t="s">
        <v>1215</v>
      </c>
      <c r="C50" s="32">
        <v>0.1163156762599945</v>
      </c>
      <c r="D50" s="32">
        <v>0.11631437850545986</v>
      </c>
      <c r="E50" s="31">
        <v>0.85398006028170692</v>
      </c>
      <c r="F50" s="31">
        <v>5.9395090885564196E-2</v>
      </c>
      <c r="G50" s="31">
        <v>7.5906732415814151</v>
      </c>
      <c r="H50" s="31">
        <v>-8.8343506135095566</v>
      </c>
      <c r="I50" s="31">
        <v>6.2100711936899424</v>
      </c>
      <c r="J50" s="47" t="s">
        <v>1216</v>
      </c>
      <c r="K50" s="32">
        <v>0.21061485149860382</v>
      </c>
      <c r="L50" s="32">
        <v>0.21061528713111405</v>
      </c>
      <c r="M50" s="31">
        <v>-0.27474524199000183</v>
      </c>
      <c r="N50" s="31">
        <v>4.7773443979122365E-2</v>
      </c>
      <c r="O50" s="31">
        <v>11.055211056609602</v>
      </c>
      <c r="P50" s="31">
        <v>-22.472483620955231</v>
      </c>
      <c r="Q50" s="31">
        <v>-2.1308815290715648</v>
      </c>
      <c r="R50" s="31">
        <v>4.2500098507711641</v>
      </c>
      <c r="S50" s="31">
        <v>1.2099951839890066</v>
      </c>
      <c r="T50" s="26" t="s">
        <v>46</v>
      </c>
      <c r="U50" s="26" t="s">
        <v>46</v>
      </c>
    </row>
    <row r="51" spans="1:21" x14ac:dyDescent="0.2">
      <c r="A51" s="31">
        <v>0.97985473482252983</v>
      </c>
      <c r="B51" s="46" t="s">
        <v>1217</v>
      </c>
      <c r="C51" s="32">
        <v>0.12277289743423461</v>
      </c>
      <c r="D51" s="32">
        <v>0.12277359776214283</v>
      </c>
      <c r="E51" s="31">
        <v>0.77277274845927035</v>
      </c>
      <c r="F51" s="31">
        <v>7.4107829963139957E-2</v>
      </c>
      <c r="G51" s="31">
        <v>9.9967330970120383</v>
      </c>
      <c r="H51" s="31">
        <v>-12.146979984413749</v>
      </c>
      <c r="I51" s="31">
        <v>5.6373809706214333</v>
      </c>
      <c r="J51" s="47" t="s">
        <v>1218</v>
      </c>
      <c r="K51" s="32">
        <v>0.21005266985893248</v>
      </c>
      <c r="L51" s="32">
        <v>0.21005349947748891</v>
      </c>
      <c r="M51" s="31">
        <v>-0.32530814275988917</v>
      </c>
      <c r="N51" s="31">
        <v>5.1712315605539634E-2</v>
      </c>
      <c r="O51" s="31">
        <v>11.934759906157829</v>
      </c>
      <c r="P51" s="31">
        <v>-24.185229739873424</v>
      </c>
      <c r="Q51" s="31">
        <v>-2.527543764291841</v>
      </c>
      <c r="R51" s="31">
        <v>3.4999929989980814</v>
      </c>
      <c r="S51" s="31">
        <v>1.5199900986981216</v>
      </c>
      <c r="T51" s="26" t="s">
        <v>46</v>
      </c>
      <c r="U51" s="26" t="s">
        <v>46</v>
      </c>
    </row>
    <row r="52" spans="1:21" x14ac:dyDescent="0.2">
      <c r="A52" s="31">
        <v>0.98670686583527478</v>
      </c>
      <c r="B52" s="46" t="s">
        <v>1219</v>
      </c>
      <c r="C52" s="32">
        <v>0.12902841985225677</v>
      </c>
      <c r="D52" s="32">
        <v>0.12902880042675818</v>
      </c>
      <c r="E52" s="31">
        <v>0.68272802092857987</v>
      </c>
      <c r="F52" s="31">
        <v>8.331337429732126E-2</v>
      </c>
      <c r="G52" s="31">
        <v>11.811134045403465</v>
      </c>
      <c r="H52" s="31">
        <v>-14.993416033539798</v>
      </c>
      <c r="I52" s="31">
        <v>4.992997163173718</v>
      </c>
      <c r="J52" s="47" t="s">
        <v>1220</v>
      </c>
      <c r="K52" s="32">
        <v>0.21005553083419798</v>
      </c>
      <c r="L52" s="32">
        <v>0.21005486889306407</v>
      </c>
      <c r="M52" s="31">
        <v>-0.37948403336712222</v>
      </c>
      <c r="N52" s="31">
        <v>5.4662073257097328E-2</v>
      </c>
      <c r="O52" s="31">
        <v>12.615710556275738</v>
      </c>
      <c r="P52" s="31">
        <v>-25.552887845157844</v>
      </c>
      <c r="Q52" s="31">
        <v>-2.9545031216943043</v>
      </c>
      <c r="R52" s="31">
        <v>2.8499955049821608</v>
      </c>
      <c r="S52" s="31">
        <v>1.890008350856716</v>
      </c>
      <c r="T52" s="26" t="s">
        <v>46</v>
      </c>
      <c r="U52" s="26" t="s">
        <v>46</v>
      </c>
    </row>
    <row r="53" spans="1:21" x14ac:dyDescent="0.2">
      <c r="A53" s="31">
        <v>0.99355899684801974</v>
      </c>
      <c r="B53" s="46" t="s">
        <v>1221</v>
      </c>
      <c r="C53" s="32">
        <v>0.12966069538593294</v>
      </c>
      <c r="D53" s="32">
        <v>0.12966030018376506</v>
      </c>
      <c r="E53" s="31">
        <v>0.5941267801799146</v>
      </c>
      <c r="F53" s="31">
        <v>9.022729122285611E-2</v>
      </c>
      <c r="G53" s="31">
        <v>12.853984181173033</v>
      </c>
      <c r="H53" s="31">
        <v>-16.348044658709199</v>
      </c>
      <c r="I53" s="31">
        <v>4.357933246159833</v>
      </c>
      <c r="J53" s="47" t="s">
        <v>1222</v>
      </c>
      <c r="K53" s="32">
        <v>0.21112553558349606</v>
      </c>
      <c r="L53" s="32">
        <v>0.21112492285456949</v>
      </c>
      <c r="M53" s="31">
        <v>-0.43596584973085828</v>
      </c>
      <c r="N53" s="31">
        <v>5.6270466720287016E-2</v>
      </c>
      <c r="O53" s="31">
        <v>13.053073304518428</v>
      </c>
      <c r="P53" s="31">
        <v>-26.55872487555575</v>
      </c>
      <c r="Q53" s="31">
        <v>-3.4024331669914929</v>
      </c>
      <c r="R53" s="31">
        <v>2.2300050799220372</v>
      </c>
      <c r="S53" s="31">
        <v>2.3300079979953718</v>
      </c>
      <c r="T53" s="26" t="s">
        <v>46</v>
      </c>
      <c r="U53" s="26" t="s">
        <v>46</v>
      </c>
    </row>
    <row r="54" spans="1:21" x14ac:dyDescent="0.2">
      <c r="A54" s="31">
        <v>1.0004111278607648</v>
      </c>
      <c r="B54" s="46" t="s">
        <v>1223</v>
      </c>
      <c r="C54" s="32">
        <v>0.1293931941986084</v>
      </c>
      <c r="D54" s="32">
        <v>0.12939302789137935</v>
      </c>
      <c r="E54" s="31">
        <v>0.50189312171825284</v>
      </c>
      <c r="F54" s="31">
        <v>9.3013929983185389E-2</v>
      </c>
      <c r="G54" s="31">
        <v>13.223637144539941</v>
      </c>
      <c r="H54" s="31">
        <v>-16.748589407158693</v>
      </c>
      <c r="I54" s="31">
        <v>3.6913949483853403</v>
      </c>
      <c r="J54" s="47" t="s">
        <v>1224</v>
      </c>
      <c r="K54" s="32">
        <v>0.21313680119514464</v>
      </c>
      <c r="L54" s="32">
        <v>0.21313659322720332</v>
      </c>
      <c r="M54" s="31">
        <v>-0.49275368786332285</v>
      </c>
      <c r="N54" s="31">
        <v>5.6459135689480189E-2</v>
      </c>
      <c r="O54" s="31">
        <v>13.221604572516627</v>
      </c>
      <c r="P54" s="31">
        <v>-27.141094171457116</v>
      </c>
      <c r="Q54" s="31">
        <v>-3.8562792149279534</v>
      </c>
      <c r="R54" s="31">
        <v>1.690002199186452</v>
      </c>
      <c r="S54" s="31">
        <v>2.8400027496698623</v>
      </c>
      <c r="T54" s="26" t="s">
        <v>46</v>
      </c>
      <c r="U54" s="26" t="s">
        <v>46</v>
      </c>
    </row>
    <row r="55" spans="1:21" x14ac:dyDescent="0.2">
      <c r="A55" s="31">
        <v>1.0072632588735098</v>
      </c>
      <c r="B55" s="46" t="s">
        <v>1225</v>
      </c>
      <c r="C55" s="32">
        <v>0.12893114669322966</v>
      </c>
      <c r="D55" s="32">
        <v>0.12893073736529329</v>
      </c>
      <c r="E55" s="31">
        <v>0.40965261230261019</v>
      </c>
      <c r="F55" s="31">
        <v>9.0944156914315552E-2</v>
      </c>
      <c r="G55" s="31">
        <v>12.883211656849998</v>
      </c>
      <c r="H55" s="31">
        <v>-16.234033865781473</v>
      </c>
      <c r="I55" s="31">
        <v>3.0201630469172174</v>
      </c>
      <c r="J55" s="47" t="s">
        <v>1226</v>
      </c>
      <c r="K55" s="32">
        <v>0.21846393713951104</v>
      </c>
      <c r="L55" s="32">
        <v>0.21846430857835725</v>
      </c>
      <c r="M55" s="31">
        <v>-0.54722356146201179</v>
      </c>
      <c r="N55" s="31">
        <v>5.4705075570945262E-2</v>
      </c>
      <c r="O55" s="31">
        <v>13.131032428827353</v>
      </c>
      <c r="P55" s="31">
        <v>-27.612289595753648</v>
      </c>
      <c r="Q55" s="31">
        <v>-4.297830722633309</v>
      </c>
      <c r="R55" s="31">
        <v>1.2400052734579603</v>
      </c>
      <c r="S55" s="31">
        <v>3.4499951226243701</v>
      </c>
      <c r="T55" s="26" t="s">
        <v>46</v>
      </c>
      <c r="U55" s="26" t="s">
        <v>46</v>
      </c>
    </row>
    <row r="56" spans="1:21" x14ac:dyDescent="0.2">
      <c r="A56" s="31">
        <v>1.0141153898862547</v>
      </c>
      <c r="B56" s="46" t="s">
        <v>1227</v>
      </c>
      <c r="C56" s="32">
        <v>0.12847768211364746</v>
      </c>
      <c r="D56" s="32">
        <v>0.12847782223209725</v>
      </c>
      <c r="E56" s="31">
        <v>0.32215504684851104</v>
      </c>
      <c r="F56" s="31">
        <v>8.4207703539897719E-2</v>
      </c>
      <c r="G56" s="31">
        <v>11.886965764299488</v>
      </c>
      <c r="H56" s="31">
        <v>-14.908298583070209</v>
      </c>
      <c r="I56" s="31">
        <v>2.3799959902799008</v>
      </c>
      <c r="J56" s="47" t="s">
        <v>1228</v>
      </c>
      <c r="K56" s="32">
        <v>0.22288271343708038</v>
      </c>
      <c r="L56" s="32">
        <v>0.222882905343672</v>
      </c>
      <c r="M56" s="31">
        <v>-0.59840800205043676</v>
      </c>
      <c r="N56" s="31">
        <v>5.2347969993714161E-2</v>
      </c>
      <c r="O56" s="31">
        <v>12.819400814143584</v>
      </c>
      <c r="P56" s="31">
        <v>-27.482790075888921</v>
      </c>
      <c r="Q56" s="31">
        <v>-4.7167125832776593</v>
      </c>
      <c r="R56" s="31">
        <v>0.87999833441657671</v>
      </c>
      <c r="S56" s="31">
        <v>4.0999975398724029</v>
      </c>
      <c r="T56" s="26" t="s">
        <v>46</v>
      </c>
      <c r="U56" s="26" t="s">
        <v>46</v>
      </c>
    </row>
    <row r="57" spans="1:21" x14ac:dyDescent="0.2">
      <c r="A57" s="31">
        <v>1.0209675208989997</v>
      </c>
      <c r="B57" s="46" t="s">
        <v>1229</v>
      </c>
      <c r="C57" s="32">
        <v>0.13063485746383663</v>
      </c>
      <c r="D57" s="32">
        <v>0.13063579577201473</v>
      </c>
      <c r="E57" s="31">
        <v>0.24808471775812313</v>
      </c>
      <c r="F57" s="31">
        <v>7.3086990575622859E-2</v>
      </c>
      <c r="G57" s="31">
        <v>10.490366247731668</v>
      </c>
      <c r="H57" s="31">
        <v>-13.364234783129495</v>
      </c>
      <c r="I57" s="31">
        <v>1.8352436882055498</v>
      </c>
      <c r="J57" s="47" t="s">
        <v>1230</v>
      </c>
      <c r="K57" s="32">
        <v>0.23157578678131102</v>
      </c>
      <c r="L57" s="32">
        <v>0.23157657717971442</v>
      </c>
      <c r="M57" s="31">
        <v>-0.6428044322582519</v>
      </c>
      <c r="N57" s="31">
        <v>4.8605847595478612E-2</v>
      </c>
      <c r="O57" s="31">
        <v>12.367250695493633</v>
      </c>
      <c r="P57" s="31">
        <v>-27.531420923487204</v>
      </c>
      <c r="Q57" s="31">
        <v>-5.0896481558466569</v>
      </c>
      <c r="R57" s="31">
        <v>0.62999015678646941</v>
      </c>
      <c r="S57" s="31">
        <v>4.8499902249422435</v>
      </c>
      <c r="T57" s="26" t="s">
        <v>46</v>
      </c>
      <c r="U57" s="26" t="s">
        <v>46</v>
      </c>
    </row>
    <row r="58" spans="1:21" x14ac:dyDescent="0.2">
      <c r="A58" s="31">
        <v>1.0278196519117446</v>
      </c>
      <c r="B58" s="46" t="s">
        <v>1231</v>
      </c>
      <c r="C58" s="32">
        <v>0.1312857293367386</v>
      </c>
      <c r="D58" s="32">
        <v>0.13128567806390029</v>
      </c>
      <c r="E58" s="31">
        <v>0.18370654846199341</v>
      </c>
      <c r="F58" s="31">
        <v>6.1071347212871836E-2</v>
      </c>
      <c r="G58" s="31">
        <v>8.8094037927651989</v>
      </c>
      <c r="H58" s="31">
        <v>-11.270303098288105</v>
      </c>
      <c r="I58" s="31">
        <v>1.360879971383778</v>
      </c>
      <c r="J58" s="47" t="s">
        <v>1232</v>
      </c>
      <c r="K58" s="32">
        <v>0.21996737964153285</v>
      </c>
      <c r="L58" s="32">
        <v>0.21996757169044734</v>
      </c>
      <c r="M58" s="31">
        <v>-0.69911932656268772</v>
      </c>
      <c r="N58" s="31">
        <v>4.7749247304161177E-2</v>
      </c>
      <c r="O58" s="31">
        <v>11.540278949655285</v>
      </c>
      <c r="P58" s="31">
        <v>-24.356689130807766</v>
      </c>
      <c r="Q58" s="31">
        <v>-5.5419967760331303</v>
      </c>
      <c r="R58" s="31">
        <v>0.43000045168304624</v>
      </c>
      <c r="S58" s="31">
        <v>5.3999977837016617</v>
      </c>
      <c r="T58" s="26" t="s">
        <v>46</v>
      </c>
      <c r="U58" s="26" t="s">
        <v>46</v>
      </c>
    </row>
    <row r="59" spans="1:21" x14ac:dyDescent="0.2">
      <c r="A59" s="31">
        <v>1.044949979443607</v>
      </c>
      <c r="B59" s="46" t="s">
        <v>1233</v>
      </c>
      <c r="C59" s="32">
        <v>0.13356449613571164</v>
      </c>
      <c r="D59" s="32">
        <v>0.13356601124295334</v>
      </c>
      <c r="E59" s="31">
        <v>7.631442869436933E-2</v>
      </c>
      <c r="F59" s="31">
        <v>3.2399467177615542E-2</v>
      </c>
      <c r="G59" s="31">
        <v>4.7546701499083683</v>
      </c>
      <c r="H59" s="31">
        <v>-6.1804205208031187</v>
      </c>
      <c r="I59" s="31">
        <v>0.56680691782963655</v>
      </c>
      <c r="J59" s="47" t="s">
        <v>1234</v>
      </c>
      <c r="K59" s="32">
        <v>0.24894190664291388</v>
      </c>
      <c r="L59" s="32">
        <v>0.24894113085797404</v>
      </c>
      <c r="M59" s="31">
        <v>-0.77254929802216965</v>
      </c>
      <c r="N59" s="31">
        <v>3.6568664124687088E-2</v>
      </c>
      <c r="O59" s="31">
        <v>10.002270662584625</v>
      </c>
      <c r="P59" s="31">
        <v>-23.856898812342624</v>
      </c>
      <c r="Q59" s="31">
        <v>-6.2083177309099629</v>
      </c>
      <c r="R59" s="31">
        <v>0.14999279607945937</v>
      </c>
      <c r="S59" s="31">
        <v>7.6000077596036713</v>
      </c>
      <c r="T59" s="26" t="s">
        <v>46</v>
      </c>
      <c r="U59" s="26" t="s">
        <v>46</v>
      </c>
    </row>
    <row r="60" spans="1:21" x14ac:dyDescent="0.2">
      <c r="A60" s="31">
        <v>1.0620803069754694</v>
      </c>
      <c r="B60" s="46" t="s">
        <v>1235</v>
      </c>
      <c r="C60" s="32">
        <v>0.13811916875839236</v>
      </c>
      <c r="D60" s="32">
        <v>0.13811828902812007</v>
      </c>
      <c r="E60" s="31">
        <v>2.8686518985645115E-2</v>
      </c>
      <c r="F60" s="31">
        <v>1.4319625960691596E-2</v>
      </c>
      <c r="G60" s="31">
        <v>2.1730870581245392</v>
      </c>
      <c r="H60" s="31">
        <v>-2.9186114479429865</v>
      </c>
      <c r="I60" s="31">
        <v>0.21339127273696859</v>
      </c>
      <c r="J60" s="47" t="s">
        <v>1236</v>
      </c>
      <c r="K60" s="32">
        <v>0.28287021231651299</v>
      </c>
      <c r="L60" s="32">
        <v>0.28286912322533492</v>
      </c>
      <c r="M60" s="31">
        <v>-0.81686585293374281</v>
      </c>
      <c r="N60" s="31">
        <v>2.8289345296222748E-2</v>
      </c>
      <c r="O60" s="31">
        <v>8.7922819880846355</v>
      </c>
      <c r="P60" s="31">
        <v>-23.808417142123613</v>
      </c>
      <c r="Q60" s="31">
        <v>-6.6631917091586965</v>
      </c>
      <c r="R60" s="31">
        <v>5.0001911708114299E-2</v>
      </c>
      <c r="S60" s="31">
        <v>9.9500095755806299</v>
      </c>
      <c r="T60" s="26" t="s">
        <v>46</v>
      </c>
      <c r="U60" s="26" t="s">
        <v>46</v>
      </c>
    </row>
    <row r="61" spans="1:21" x14ac:dyDescent="0.2">
      <c r="A61" s="31">
        <v>1.0792106345073318</v>
      </c>
      <c r="B61" s="46" t="s">
        <v>1237</v>
      </c>
      <c r="C61" s="32">
        <v>4.6974218749999998E-2</v>
      </c>
      <c r="D61" s="32">
        <v>6.1754651961683726E-2</v>
      </c>
      <c r="E61" s="31">
        <v>5.1114668053742207E-13</v>
      </c>
      <c r="F61" s="31">
        <v>2.3682335728375523E-12</v>
      </c>
      <c r="G61" s="31">
        <v>1.222293760374436E-10</v>
      </c>
      <c r="H61" s="31">
        <v>-5.5820987099816126E-11</v>
      </c>
      <c r="I61" s="31">
        <v>3.8432054737582924E-12</v>
      </c>
      <c r="J61" s="29" t="s">
        <v>1238</v>
      </c>
      <c r="K61" s="32">
        <v>0</v>
      </c>
      <c r="L61" s="32">
        <v>0</v>
      </c>
      <c r="M61" s="31">
        <v>-0.50000000052480864</v>
      </c>
      <c r="N61" s="31">
        <v>0</v>
      </c>
      <c r="O61" s="31">
        <v>0</v>
      </c>
      <c r="P61" s="31">
        <v>0</v>
      </c>
      <c r="Q61" s="31">
        <v>0</v>
      </c>
      <c r="R61" s="31">
        <v>1.0674931366643991E-13</v>
      </c>
      <c r="S61" s="31">
        <v>0</v>
      </c>
      <c r="T61" s="26" t="s">
        <v>46</v>
      </c>
      <c r="U61" s="27" t="s">
        <v>47</v>
      </c>
    </row>
    <row r="62" spans="1:21" x14ac:dyDescent="0.2">
      <c r="A62" s="31">
        <v>1.0963409620391942</v>
      </c>
      <c r="B62" s="46" t="s">
        <v>1239</v>
      </c>
      <c r="C62" s="32">
        <v>9.3848437499999993E-2</v>
      </c>
      <c r="D62" s="32">
        <v>7.433205058763262E-2</v>
      </c>
      <c r="E62" s="31">
        <v>8.5910999049199077E-6</v>
      </c>
      <c r="F62" s="31">
        <v>1.2449803296837E-5</v>
      </c>
      <c r="G62" s="31">
        <v>1.2837516993283548E-3</v>
      </c>
      <c r="H62" s="31">
        <v>-1.1705814931565295E-3</v>
      </c>
      <c r="I62" s="31">
        <v>6.4389113048590789E-5</v>
      </c>
      <c r="J62" s="29" t="s">
        <v>1240</v>
      </c>
      <c r="K62" s="32">
        <v>0</v>
      </c>
      <c r="L62" s="32">
        <v>0</v>
      </c>
      <c r="M62" s="31">
        <v>-0.50000000052480864</v>
      </c>
      <c r="N62" s="31">
        <v>0</v>
      </c>
      <c r="O62" s="31">
        <v>0</v>
      </c>
      <c r="P62" s="31">
        <v>0</v>
      </c>
      <c r="Q62" s="31">
        <v>0</v>
      </c>
      <c r="R62" s="31">
        <v>5.6482131426834319E-6</v>
      </c>
      <c r="S62" s="31">
        <v>0</v>
      </c>
      <c r="T62" s="26" t="s">
        <v>46</v>
      </c>
      <c r="U62" s="27" t="s">
        <v>47</v>
      </c>
    </row>
    <row r="63" spans="1:21" x14ac:dyDescent="0.2">
      <c r="A63" s="31">
        <v>1.1134712895710566</v>
      </c>
      <c r="B63" s="46" t="s">
        <v>1241</v>
      </c>
      <c r="C63" s="32">
        <v>9.3848437499999993E-2</v>
      </c>
      <c r="D63" s="32">
        <v>8.6638221038416854E-2</v>
      </c>
      <c r="E63" s="31">
        <v>2.505586880197086E-7</v>
      </c>
      <c r="F63" s="31">
        <v>4.1910635140427755E-7</v>
      </c>
      <c r="G63" s="31">
        <v>4.3215822610726666E-5</v>
      </c>
      <c r="H63" s="31">
        <v>-3.9393229356062246E-5</v>
      </c>
      <c r="I63" s="31">
        <v>1.8789954965179197E-6</v>
      </c>
      <c r="J63" s="29" t="s">
        <v>1242</v>
      </c>
      <c r="K63" s="32">
        <v>0</v>
      </c>
      <c r="L63" s="32">
        <v>0</v>
      </c>
      <c r="M63" s="31">
        <v>-0.50000000052480864</v>
      </c>
      <c r="N63" s="31">
        <v>0</v>
      </c>
      <c r="O63" s="31">
        <v>0</v>
      </c>
      <c r="P63" s="31">
        <v>0</v>
      </c>
      <c r="Q63" s="31">
        <v>0</v>
      </c>
      <c r="R63" s="31">
        <v>1.4391677544177086E-7</v>
      </c>
      <c r="S63" s="31">
        <v>0</v>
      </c>
      <c r="T63" s="26" t="s">
        <v>46</v>
      </c>
      <c r="U63" s="27" t="s">
        <v>47</v>
      </c>
    </row>
    <row r="64" spans="1:21" x14ac:dyDescent="0.2">
      <c r="A64" s="31">
        <v>1.130601617102919</v>
      </c>
      <c r="B64" s="46" t="s">
        <v>1243</v>
      </c>
      <c r="C64" s="32">
        <v>9.3848437499999993E-2</v>
      </c>
      <c r="D64" s="32">
        <v>9.8679478650502667E-2</v>
      </c>
      <c r="E64" s="31">
        <v>4.6796565511542099E-9</v>
      </c>
      <c r="F64" s="31">
        <v>8.8601770153640492E-9</v>
      </c>
      <c r="G64" s="31">
        <v>9.1361020159357674E-7</v>
      </c>
      <c r="H64" s="31">
        <v>-8.3259244161900859E-7</v>
      </c>
      <c r="I64" s="31">
        <v>3.5109753608258196E-8</v>
      </c>
      <c r="J64" s="47" t="s">
        <v>1244</v>
      </c>
      <c r="K64" s="32">
        <v>0</v>
      </c>
      <c r="L64" s="32">
        <v>0</v>
      </c>
      <c r="M64" s="31">
        <v>-0.50000000052480864</v>
      </c>
      <c r="N64" s="31">
        <v>0</v>
      </c>
      <c r="O64" s="31">
        <v>0</v>
      </c>
      <c r="P64" s="31">
        <v>0</v>
      </c>
      <c r="Q64" s="31">
        <v>0</v>
      </c>
      <c r="R64" s="31">
        <v>2.3852167084301078E-9</v>
      </c>
      <c r="S64" s="31">
        <v>0</v>
      </c>
      <c r="T64" s="26" t="s">
        <v>46</v>
      </c>
      <c r="U64" s="26" t="s">
        <v>46</v>
      </c>
    </row>
    <row r="65" spans="1:21" x14ac:dyDescent="0.2">
      <c r="A65" s="31">
        <v>1.164862272166644</v>
      </c>
      <c r="B65" s="46" t="s">
        <v>1245</v>
      </c>
      <c r="C65" s="32">
        <v>9.3848437499999993E-2</v>
      </c>
      <c r="D65" s="32">
        <v>0.126031660302698</v>
      </c>
      <c r="E65" s="31">
        <v>4.5985437679973984E-13</v>
      </c>
      <c r="F65" s="31">
        <v>1.0684212225599625E-12</v>
      </c>
      <c r="G65" s="31">
        <v>1.1016941612308815E-10</v>
      </c>
      <c r="H65" s="31">
        <v>-1.0036488745075667E-10</v>
      </c>
      <c r="I65" s="31">
        <v>3.4521460774778613E-12</v>
      </c>
      <c r="J65" s="29" t="s">
        <v>1246</v>
      </c>
      <c r="K65" s="32">
        <v>0</v>
      </c>
      <c r="L65" s="32">
        <v>0</v>
      </c>
      <c r="M65" s="31">
        <v>-0.50000000052480864</v>
      </c>
      <c r="N65" s="31">
        <v>0</v>
      </c>
      <c r="O65" s="31">
        <v>0</v>
      </c>
      <c r="P65" s="31">
        <v>0</v>
      </c>
      <c r="Q65" s="31">
        <v>0</v>
      </c>
      <c r="R65" s="31">
        <v>1.9121723233710706E-13</v>
      </c>
      <c r="S65" s="31">
        <v>0</v>
      </c>
      <c r="T65" s="26" t="s">
        <v>46</v>
      </c>
      <c r="U65" s="27" t="s">
        <v>47</v>
      </c>
    </row>
    <row r="66" spans="1:21" x14ac:dyDescent="0.2">
      <c r="A66" s="31">
        <v>0.47964917089214748</v>
      </c>
      <c r="B66" s="46" t="s">
        <v>1247</v>
      </c>
      <c r="C66" s="32">
        <v>0</v>
      </c>
      <c r="D66" s="32">
        <v>64795.05528636065</v>
      </c>
      <c r="E66" s="31">
        <v>0.50000000052480864</v>
      </c>
      <c r="F66" s="31">
        <v>0</v>
      </c>
      <c r="G66" s="31">
        <v>0</v>
      </c>
      <c r="H66" s="31">
        <v>0</v>
      </c>
      <c r="I66" s="31">
        <v>0</v>
      </c>
      <c r="J66" s="47" t="s">
        <v>1248</v>
      </c>
      <c r="K66" s="32">
        <v>0</v>
      </c>
      <c r="L66" s="32">
        <v>0.51184397935917703</v>
      </c>
      <c r="M66" s="31">
        <v>-0.50000000052480864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1">
        <v>0</v>
      </c>
      <c r="T66" s="26" t="s">
        <v>46</v>
      </c>
      <c r="U66" s="26" t="s">
        <v>46</v>
      </c>
    </row>
    <row r="67" spans="1:21" x14ac:dyDescent="0.2">
      <c r="A67" s="31">
        <v>0.51390982595587231</v>
      </c>
      <c r="B67" s="46" t="s">
        <v>1249</v>
      </c>
      <c r="C67" s="32">
        <v>0</v>
      </c>
      <c r="D67" s="32">
        <v>65.273043714069473</v>
      </c>
      <c r="E67" s="31">
        <v>0.50000000052480864</v>
      </c>
      <c r="F67" s="31">
        <v>0</v>
      </c>
      <c r="G67" s="31">
        <v>0</v>
      </c>
      <c r="H67" s="31">
        <v>0</v>
      </c>
      <c r="I67" s="31">
        <v>0</v>
      </c>
      <c r="J67" s="47" t="s">
        <v>1250</v>
      </c>
      <c r="K67" s="32">
        <v>0</v>
      </c>
      <c r="L67" s="32">
        <v>0.45327093209388269</v>
      </c>
      <c r="M67" s="31">
        <v>-0.50000000052480864</v>
      </c>
      <c r="N67" s="31">
        <v>0</v>
      </c>
      <c r="O67" s="31">
        <v>0</v>
      </c>
      <c r="P67" s="31">
        <v>0</v>
      </c>
      <c r="Q67" s="31">
        <v>0</v>
      </c>
      <c r="R67" s="31">
        <v>0</v>
      </c>
      <c r="S67" s="31">
        <v>0</v>
      </c>
      <c r="T67" s="26" t="s">
        <v>46</v>
      </c>
      <c r="U67" s="26" t="s">
        <v>46</v>
      </c>
    </row>
    <row r="68" spans="1:21" x14ac:dyDescent="0.2">
      <c r="A68" s="31">
        <v>0.54817048101959709</v>
      </c>
      <c r="B68" s="46" t="s">
        <v>1251</v>
      </c>
      <c r="C68" s="32">
        <v>0</v>
      </c>
      <c r="D68" s="32">
        <v>0</v>
      </c>
      <c r="E68" s="31">
        <v>0.50000000052480864</v>
      </c>
      <c r="F68" s="31">
        <v>0</v>
      </c>
      <c r="G68" s="31">
        <v>0</v>
      </c>
      <c r="H68" s="31">
        <v>0</v>
      </c>
      <c r="I68" s="31">
        <v>0</v>
      </c>
      <c r="J68" s="47" t="s">
        <v>1252</v>
      </c>
      <c r="K68" s="32">
        <v>0.81371558990478521</v>
      </c>
      <c r="L68" s="32">
        <v>0.81373066325132382</v>
      </c>
      <c r="M68" s="31">
        <v>-2.0278284842022432E-3</v>
      </c>
      <c r="N68" s="31">
        <v>2.0228081732692234E-4</v>
      </c>
      <c r="O68" s="31">
        <v>0.2504078760658901</v>
      </c>
      <c r="P68" s="31">
        <v>-1.4255989059383425</v>
      </c>
      <c r="Q68" s="31">
        <v>-2.2566527639072975E-2</v>
      </c>
      <c r="R68" s="31">
        <v>0</v>
      </c>
      <c r="S68" s="31">
        <v>1.9996225248426924E-2</v>
      </c>
      <c r="T68" s="26" t="s">
        <v>46</v>
      </c>
      <c r="U68" s="26" t="s">
        <v>46</v>
      </c>
    </row>
    <row r="69" spans="1:21" x14ac:dyDescent="0.2">
      <c r="A69" s="31">
        <v>0.58243113608332198</v>
      </c>
      <c r="B69" s="46" t="s">
        <v>1253</v>
      </c>
      <c r="C69" s="32">
        <v>0</v>
      </c>
      <c r="D69" s="32">
        <v>404836.74499205715</v>
      </c>
      <c r="E69" s="31">
        <v>0.50000000052480864</v>
      </c>
      <c r="F69" s="31">
        <v>0</v>
      </c>
      <c r="G69" s="31">
        <v>0</v>
      </c>
      <c r="H69" s="31">
        <v>0</v>
      </c>
      <c r="I69" s="31">
        <v>0</v>
      </c>
      <c r="J69" s="47" t="s">
        <v>1254</v>
      </c>
      <c r="K69" s="32">
        <v>0.76839774169921882</v>
      </c>
      <c r="L69" s="32">
        <v>0.76840079305018472</v>
      </c>
      <c r="M69" s="31">
        <v>-3.1131689938952434E-3</v>
      </c>
      <c r="N69" s="31">
        <v>3.156191294188418E-4</v>
      </c>
      <c r="O69" s="31">
        <v>0.3689521500666601</v>
      </c>
      <c r="P69" s="31">
        <v>-1.983400036391221</v>
      </c>
      <c r="Q69" s="31">
        <v>-3.4594905367363073E-2</v>
      </c>
      <c r="R69" s="31">
        <v>0</v>
      </c>
      <c r="S69" s="31">
        <v>2.9998874182006308E-2</v>
      </c>
      <c r="T69" s="26" t="s">
        <v>46</v>
      </c>
      <c r="U69" s="26" t="s">
        <v>46</v>
      </c>
    </row>
    <row r="70" spans="1:21" x14ac:dyDescent="0.2">
      <c r="A70" s="31">
        <v>0.61669179114704675</v>
      </c>
      <c r="B70" s="46" t="s">
        <v>1255</v>
      </c>
      <c r="C70" s="32">
        <v>0</v>
      </c>
      <c r="D70" s="32">
        <v>131465.3922996062</v>
      </c>
      <c r="E70" s="31">
        <v>0.50000000052480864</v>
      </c>
      <c r="F70" s="31">
        <v>0</v>
      </c>
      <c r="G70" s="31">
        <v>0</v>
      </c>
      <c r="H70" s="31">
        <v>0</v>
      </c>
      <c r="I70" s="31">
        <v>0</v>
      </c>
      <c r="J70" s="47" t="s">
        <v>1256</v>
      </c>
      <c r="K70" s="32">
        <v>0.37509375</v>
      </c>
      <c r="L70" s="32">
        <v>0.32243449806321522</v>
      </c>
      <c r="M70" s="31">
        <v>-5.4850396835615101E-7</v>
      </c>
      <c r="N70" s="31">
        <v>1.8960565409590287E-7</v>
      </c>
      <c r="O70" s="31">
        <v>1.0819613819082369E-4</v>
      </c>
      <c r="P70" s="31">
        <v>-2.8389819399327417E-4</v>
      </c>
      <c r="Q70" s="31">
        <v>-5.8283376809242545E-6</v>
      </c>
      <c r="R70" s="31">
        <v>0</v>
      </c>
      <c r="S70" s="31">
        <v>1.5571955680471206E-6</v>
      </c>
      <c r="T70" s="26" t="s">
        <v>46</v>
      </c>
      <c r="U70" s="26" t="s">
        <v>46</v>
      </c>
    </row>
    <row r="71" spans="1:21" x14ac:dyDescent="0.2">
      <c r="A71" s="31">
        <v>0.65095244621077153</v>
      </c>
      <c r="B71" s="46" t="s">
        <v>1257</v>
      </c>
      <c r="C71" s="32">
        <v>0</v>
      </c>
      <c r="D71" s="32">
        <v>0.13444975992438141</v>
      </c>
      <c r="E71" s="31">
        <v>0.50000000052480864</v>
      </c>
      <c r="F71" s="31">
        <v>0</v>
      </c>
      <c r="G71" s="31">
        <v>0</v>
      </c>
      <c r="H71" s="31">
        <v>0</v>
      </c>
      <c r="I71" s="31">
        <v>0</v>
      </c>
      <c r="J71" s="47" t="s">
        <v>1258</v>
      </c>
      <c r="K71" s="32">
        <v>0.187596875</v>
      </c>
      <c r="L71" s="32">
        <v>0.30877889170109224</v>
      </c>
      <c r="M71" s="31">
        <v>0</v>
      </c>
      <c r="N71" s="31">
        <v>5.119661183926827E-18</v>
      </c>
      <c r="O71" s="31">
        <v>1.4611253253165162E-15</v>
      </c>
      <c r="P71" s="31">
        <v>-1.918717815089158E-15</v>
      </c>
      <c r="Q71" s="31">
        <v>0</v>
      </c>
      <c r="R71" s="31">
        <v>0</v>
      </c>
      <c r="S71" s="31">
        <v>0</v>
      </c>
      <c r="T71" s="26" t="s">
        <v>46</v>
      </c>
      <c r="U71" s="26" t="s">
        <v>46</v>
      </c>
    </row>
    <row r="72" spans="1:21" x14ac:dyDescent="0.2">
      <c r="A72" s="31">
        <v>0.68521310127449642</v>
      </c>
      <c r="B72" s="46" t="s">
        <v>1259</v>
      </c>
      <c r="C72" s="32">
        <v>0</v>
      </c>
      <c r="D72" s="32">
        <v>0</v>
      </c>
      <c r="E72" s="31">
        <v>0.50000000052480864</v>
      </c>
      <c r="F72" s="31">
        <v>0</v>
      </c>
      <c r="G72" s="31">
        <v>0</v>
      </c>
      <c r="H72" s="31">
        <v>0</v>
      </c>
      <c r="I72" s="31">
        <v>0</v>
      </c>
      <c r="J72" s="47" t="s">
        <v>1260</v>
      </c>
      <c r="K72" s="32">
        <v>0.187596875</v>
      </c>
      <c r="L72" s="32">
        <v>0.26958777369394421</v>
      </c>
      <c r="M72" s="31">
        <v>-1.9095836023552692E-14</v>
      </c>
      <c r="N72" s="31">
        <v>1.9911064962728321E-14</v>
      </c>
      <c r="O72" s="31">
        <v>5.682516913892814E-12</v>
      </c>
      <c r="P72" s="31">
        <v>-7.455697579748501E-12</v>
      </c>
      <c r="Q72" s="31">
        <v>-2.0060020242392042E-13</v>
      </c>
      <c r="R72" s="31">
        <v>0</v>
      </c>
      <c r="S72" s="31">
        <v>8.8817841970012523E-15</v>
      </c>
      <c r="T72" s="26" t="s">
        <v>46</v>
      </c>
      <c r="U72" s="26" t="s">
        <v>46</v>
      </c>
    </row>
    <row r="73" spans="1:21" x14ac:dyDescent="0.2">
      <c r="A73" s="31">
        <v>0.71947375633822119</v>
      </c>
      <c r="B73" s="46" t="s">
        <v>1261</v>
      </c>
      <c r="C73" s="32">
        <v>0</v>
      </c>
      <c r="D73" s="32">
        <v>0</v>
      </c>
      <c r="E73" s="31">
        <v>0.50000000052480864</v>
      </c>
      <c r="F73" s="31">
        <v>0</v>
      </c>
      <c r="G73" s="31">
        <v>0</v>
      </c>
      <c r="H73" s="31">
        <v>0</v>
      </c>
      <c r="I73" s="31">
        <v>0</v>
      </c>
      <c r="J73" s="47" t="s">
        <v>1262</v>
      </c>
      <c r="K73" s="32">
        <v>0.187596875</v>
      </c>
      <c r="L73" s="32">
        <v>0.22209637852430539</v>
      </c>
      <c r="M73" s="31">
        <v>-2.1372348335546576E-11</v>
      </c>
      <c r="N73" s="31">
        <v>1.9585879898987728E-11</v>
      </c>
      <c r="O73" s="31">
        <v>5.5897107466531275E-9</v>
      </c>
      <c r="P73" s="31">
        <v>-7.3330604034525944E-9</v>
      </c>
      <c r="Q73" s="31">
        <v>-2.2439360651268901E-10</v>
      </c>
      <c r="R73" s="31">
        <v>0</v>
      </c>
      <c r="S73" s="31">
        <v>2.2746693417730057E-11</v>
      </c>
      <c r="T73" s="26" t="s">
        <v>46</v>
      </c>
      <c r="U73" s="26" t="s">
        <v>46</v>
      </c>
    </row>
    <row r="74" spans="1:21" x14ac:dyDescent="0.2">
      <c r="A74" s="31">
        <v>0.75373441140194597</v>
      </c>
      <c r="B74" s="46" t="s">
        <v>1263</v>
      </c>
      <c r="C74" s="32">
        <v>0</v>
      </c>
      <c r="D74" s="32">
        <v>935.88677893003546</v>
      </c>
      <c r="E74" s="31">
        <v>0.50000000052480864</v>
      </c>
      <c r="F74" s="31">
        <v>0</v>
      </c>
      <c r="G74" s="31">
        <v>0</v>
      </c>
      <c r="H74" s="31">
        <v>0</v>
      </c>
      <c r="I74" s="31">
        <v>0</v>
      </c>
      <c r="J74" s="47" t="s">
        <v>1264</v>
      </c>
      <c r="K74" s="32">
        <v>0.187596875</v>
      </c>
      <c r="L74" s="32">
        <v>0.19499866604217272</v>
      </c>
      <c r="M74" s="31">
        <v>-7.2797338157570834E-9</v>
      </c>
      <c r="N74" s="31">
        <v>5.7879907279091605E-9</v>
      </c>
      <c r="O74" s="31">
        <v>1.6518631861412888E-6</v>
      </c>
      <c r="P74" s="31">
        <v>-2.1667267222975806E-6</v>
      </c>
      <c r="Q74" s="31">
        <v>-7.6517988694506765E-8</v>
      </c>
      <c r="R74" s="31">
        <v>0</v>
      </c>
      <c r="S74" s="31">
        <v>8.9365199684721119E-9</v>
      </c>
      <c r="T74" s="26" t="s">
        <v>46</v>
      </c>
      <c r="U74" s="26" t="s">
        <v>46</v>
      </c>
    </row>
    <row r="75" spans="1:21" x14ac:dyDescent="0.2">
      <c r="A75" s="31">
        <v>0.78799506646567086</v>
      </c>
      <c r="B75" s="46" t="s">
        <v>1265</v>
      </c>
      <c r="C75" s="32">
        <v>0</v>
      </c>
      <c r="D75" s="32">
        <v>0</v>
      </c>
      <c r="E75" s="31">
        <v>0.50000000052480864</v>
      </c>
      <c r="F75" s="31">
        <v>0</v>
      </c>
      <c r="G75" s="31">
        <v>0</v>
      </c>
      <c r="H75" s="31">
        <v>0</v>
      </c>
      <c r="I75" s="31">
        <v>0</v>
      </c>
      <c r="J75" s="47" t="s">
        <v>1266</v>
      </c>
      <c r="K75" s="32">
        <v>0.3240997268676758</v>
      </c>
      <c r="L75" s="32">
        <v>0.32411465112255294</v>
      </c>
      <c r="M75" s="31">
        <v>-2.5878029356792842E-3</v>
      </c>
      <c r="N75" s="31">
        <v>6.3338033118977158E-4</v>
      </c>
      <c r="O75" s="31">
        <v>0.31229417662354747</v>
      </c>
      <c r="P75" s="31">
        <v>-0.70760959181045102</v>
      </c>
      <c r="Q75" s="31">
        <v>-2.7689739501584123E-2</v>
      </c>
      <c r="R75" s="31">
        <v>0</v>
      </c>
      <c r="S75" s="31">
        <v>9.9953384292024161E-3</v>
      </c>
      <c r="T75" s="26" t="s">
        <v>46</v>
      </c>
      <c r="U75" s="26" t="s">
        <v>46</v>
      </c>
    </row>
    <row r="76" spans="1:21" x14ac:dyDescent="0.2">
      <c r="A76" s="31">
        <v>0.82225572152939563</v>
      </c>
      <c r="B76" s="46" t="s">
        <v>1267</v>
      </c>
      <c r="C76" s="32">
        <v>0.62949739255905157</v>
      </c>
      <c r="D76" s="32">
        <v>0.62949804757915462</v>
      </c>
      <c r="E76" s="31">
        <v>0.89404607579222506</v>
      </c>
      <c r="F76" s="31">
        <v>7.4544482247638098E-3</v>
      </c>
      <c r="G76" s="31">
        <v>7.1388800753001957</v>
      </c>
      <c r="H76" s="31">
        <v>-31.694652069415202</v>
      </c>
      <c r="I76" s="31">
        <v>7.369792455358291</v>
      </c>
      <c r="J76" s="47" t="s">
        <v>1268</v>
      </c>
      <c r="K76" s="32">
        <v>0.3268348192214966</v>
      </c>
      <c r="L76" s="32">
        <v>0.32683301895338029</v>
      </c>
      <c r="M76" s="31">
        <v>-1.112695752029258E-2</v>
      </c>
      <c r="N76" s="31">
        <v>2.2945604025102063E-3</v>
      </c>
      <c r="O76" s="31">
        <v>1.1409023127994133</v>
      </c>
      <c r="P76" s="31">
        <v>-2.6063563092998807</v>
      </c>
      <c r="Q76" s="31">
        <v>-0.11956207367715087</v>
      </c>
      <c r="R76" s="31">
        <v>27.299995323886748</v>
      </c>
      <c r="S76" s="31">
        <v>5.0002053901646804E-2</v>
      </c>
      <c r="T76" s="26" t="s">
        <v>46</v>
      </c>
      <c r="U76" s="26" t="s">
        <v>46</v>
      </c>
    </row>
    <row r="77" spans="1:21" x14ac:dyDescent="0.2">
      <c r="A77" s="31">
        <v>0.8428121145676305</v>
      </c>
      <c r="B77" s="28" t="s">
        <v>1269</v>
      </c>
      <c r="C77" s="32">
        <v>0</v>
      </c>
      <c r="D77" s="32">
        <v>0</v>
      </c>
      <c r="E77" s="31">
        <v>0.50000000052480864</v>
      </c>
      <c r="F77" s="31">
        <v>0</v>
      </c>
      <c r="G77" s="31">
        <v>0</v>
      </c>
      <c r="H77" s="31">
        <v>0</v>
      </c>
      <c r="I77" s="31">
        <v>0</v>
      </c>
      <c r="J77" s="47" t="s">
        <v>1270</v>
      </c>
      <c r="K77" s="32">
        <v>0.297904637336731</v>
      </c>
      <c r="L77" s="32">
        <v>0.29790274519511561</v>
      </c>
      <c r="M77" s="31">
        <v>-1.4270799017075508E-2</v>
      </c>
      <c r="N77" s="31">
        <v>3.12242148221479E-3</v>
      </c>
      <c r="O77" s="31">
        <v>1.4151075175508236</v>
      </c>
      <c r="P77" s="31">
        <v>-2.9460414721840977</v>
      </c>
      <c r="Q77" s="31">
        <v>-0.15304877251927423</v>
      </c>
      <c r="R77" s="31">
        <v>0</v>
      </c>
      <c r="S77" s="31">
        <v>6.0002677544545246E-2</v>
      </c>
      <c r="T77" s="27" t="s">
        <v>47</v>
      </c>
      <c r="U77" s="26" t="s">
        <v>46</v>
      </c>
    </row>
    <row r="78" spans="1:21" x14ac:dyDescent="0.2">
      <c r="A78" s="31">
        <v>0.84966424558037545</v>
      </c>
      <c r="B78" s="28" t="s">
        <v>1271</v>
      </c>
      <c r="C78" s="32">
        <v>0</v>
      </c>
      <c r="D78" s="32">
        <v>0</v>
      </c>
      <c r="E78" s="31">
        <v>0.50000000052480864</v>
      </c>
      <c r="F78" s="31">
        <v>0</v>
      </c>
      <c r="G78" s="31">
        <v>0</v>
      </c>
      <c r="H78" s="31">
        <v>0</v>
      </c>
      <c r="I78" s="31">
        <v>0</v>
      </c>
      <c r="J78" s="47" t="s">
        <v>1272</v>
      </c>
      <c r="K78" s="32">
        <v>0.292114023399353</v>
      </c>
      <c r="L78" s="32">
        <v>0.29211113516026477</v>
      </c>
      <c r="M78" s="31">
        <v>-1.6673128947338633E-2</v>
      </c>
      <c r="N78" s="31">
        <v>3.6393583757238714E-3</v>
      </c>
      <c r="O78" s="31">
        <v>1.6173271543676753</v>
      </c>
      <c r="P78" s="31">
        <v>-3.3013500481875009</v>
      </c>
      <c r="Q78" s="31">
        <v>-0.17880581739364806</v>
      </c>
      <c r="R78" s="31">
        <v>0</v>
      </c>
      <c r="S78" s="31">
        <v>7.0004671126772777E-2</v>
      </c>
      <c r="T78" s="27" t="s">
        <v>47</v>
      </c>
      <c r="U78" s="26" t="s">
        <v>46</v>
      </c>
    </row>
    <row r="79" spans="1:21" x14ac:dyDescent="0.2">
      <c r="A79" s="31">
        <v>0.85651637659312052</v>
      </c>
      <c r="B79" s="46" t="s">
        <v>1273</v>
      </c>
      <c r="C79" s="32">
        <v>0.50585748548507703</v>
      </c>
      <c r="D79" s="32">
        <v>0.50585634685692793</v>
      </c>
      <c r="E79" s="31">
        <v>0.88770662991314309</v>
      </c>
      <c r="F79" s="31">
        <v>9.6720445560044346E-3</v>
      </c>
      <c r="G79" s="31">
        <v>7.4433273212917221</v>
      </c>
      <c r="H79" s="31">
        <v>-26.603979271388067</v>
      </c>
      <c r="I79" s="31">
        <v>7.6751358587277441</v>
      </c>
      <c r="J79" s="47" t="s">
        <v>1274</v>
      </c>
      <c r="K79" s="32">
        <v>0.29066064796447755</v>
      </c>
      <c r="L79" s="32">
        <v>0.29065633999629997</v>
      </c>
      <c r="M79" s="31">
        <v>-2.0938411050075212E-2</v>
      </c>
      <c r="N79" s="31">
        <v>4.4400409334440349E-3</v>
      </c>
      <c r="O79" s="31">
        <v>1.9633325170346259</v>
      </c>
      <c r="P79" s="31">
        <v>-3.9874092596881194</v>
      </c>
      <c r="Q79" s="31">
        <v>-0.22469724562022977</v>
      </c>
      <c r="R79" s="31">
        <v>22.100008475169517</v>
      </c>
      <c r="S79" s="31">
        <v>9.0008457724419788E-2</v>
      </c>
      <c r="T79" s="26" t="s">
        <v>46</v>
      </c>
      <c r="U79" s="26" t="s">
        <v>46</v>
      </c>
    </row>
    <row r="80" spans="1:21" x14ac:dyDescent="0.2">
      <c r="A80" s="31">
        <v>0.86336850760586548</v>
      </c>
      <c r="B80" s="28" t="s">
        <v>1275</v>
      </c>
      <c r="C80" s="32">
        <v>0</v>
      </c>
      <c r="D80" s="32">
        <v>0</v>
      </c>
      <c r="E80" s="31">
        <v>0.50000000052480864</v>
      </c>
      <c r="F80" s="31">
        <v>0</v>
      </c>
      <c r="G80" s="31">
        <v>0</v>
      </c>
      <c r="H80" s="31">
        <v>0</v>
      </c>
      <c r="I80" s="31">
        <v>0</v>
      </c>
      <c r="J80" s="47" t="s">
        <v>1276</v>
      </c>
      <c r="K80" s="32">
        <v>0.27785492267608647</v>
      </c>
      <c r="L80" s="32">
        <v>0.27785672338921769</v>
      </c>
      <c r="M80" s="31">
        <v>-2.181040420919278E-2</v>
      </c>
      <c r="N80" s="31">
        <v>4.8077009505138654E-3</v>
      </c>
      <c r="O80" s="31">
        <v>2.0322455880579722</v>
      </c>
      <c r="P80" s="31">
        <v>-3.9451581664733308</v>
      </c>
      <c r="Q80" s="31">
        <v>-0.23378629277419105</v>
      </c>
      <c r="R80" s="31">
        <v>0</v>
      </c>
      <c r="S80" s="31">
        <v>8.999634046216709E-2</v>
      </c>
      <c r="T80" s="27" t="s">
        <v>47</v>
      </c>
      <c r="U80" s="26" t="s">
        <v>46</v>
      </c>
    </row>
    <row r="81" spans="1:21" x14ac:dyDescent="0.2">
      <c r="A81" s="31">
        <v>0.87022063861861043</v>
      </c>
      <c r="B81" s="28" t="s">
        <v>1277</v>
      </c>
      <c r="C81" s="32">
        <v>0</v>
      </c>
      <c r="D81" s="32">
        <v>0</v>
      </c>
      <c r="E81" s="31">
        <v>0.50000000052480864</v>
      </c>
      <c r="F81" s="31">
        <v>0</v>
      </c>
      <c r="G81" s="31">
        <v>0</v>
      </c>
      <c r="H81" s="31">
        <v>0</v>
      </c>
      <c r="I81" s="48">
        <v>0</v>
      </c>
      <c r="J81" s="47" t="s">
        <v>1278</v>
      </c>
      <c r="K81" s="32">
        <v>0.27808380069732674</v>
      </c>
      <c r="L81" s="32">
        <v>0.27808630652685346</v>
      </c>
      <c r="M81" s="31">
        <v>-2.8082625828531049E-2</v>
      </c>
      <c r="N81" s="31">
        <v>5.9382218304568106E-3</v>
      </c>
      <c r="O81" s="31">
        <v>2.5121915812925519</v>
      </c>
      <c r="P81" s="31">
        <v>-4.8804962198185224</v>
      </c>
      <c r="Q81" s="31">
        <v>-0.30131246028254532</v>
      </c>
      <c r="R81" s="31">
        <v>0</v>
      </c>
      <c r="S81" s="31">
        <v>0.11999370477674054</v>
      </c>
      <c r="T81" s="27" t="s">
        <v>47</v>
      </c>
      <c r="U81" s="26" t="s">
        <v>46</v>
      </c>
    </row>
    <row r="82" spans="1:21" x14ac:dyDescent="0.2">
      <c r="A82" s="31">
        <v>0.87707276963135539</v>
      </c>
      <c r="B82" s="28" t="s">
        <v>1279</v>
      </c>
      <c r="C82" s="32">
        <v>0</v>
      </c>
      <c r="D82" s="32">
        <v>0</v>
      </c>
      <c r="E82" s="31">
        <v>0.50000000052480864</v>
      </c>
      <c r="F82" s="31">
        <v>0</v>
      </c>
      <c r="G82" s="31">
        <v>0</v>
      </c>
      <c r="H82" s="31">
        <v>0</v>
      </c>
      <c r="I82" s="31">
        <v>0</v>
      </c>
      <c r="J82" s="47" t="s">
        <v>1280</v>
      </c>
      <c r="K82" s="32">
        <v>0.27563480587005618</v>
      </c>
      <c r="L82" s="32">
        <v>0.27563492499992476</v>
      </c>
      <c r="M82" s="31">
        <v>-3.4410521586265563E-2</v>
      </c>
      <c r="N82" s="31">
        <v>7.0877697082303249E-3</v>
      </c>
      <c r="O82" s="31">
        <v>2.9721060638411454</v>
      </c>
      <c r="P82" s="31">
        <v>-5.7226158351767848</v>
      </c>
      <c r="Q82" s="31">
        <v>-0.36941957601588482</v>
      </c>
      <c r="R82" s="31">
        <v>0</v>
      </c>
      <c r="S82" s="31">
        <v>0.14999964593319248</v>
      </c>
      <c r="T82" s="27" t="s">
        <v>47</v>
      </c>
      <c r="U82" s="26" t="s">
        <v>46</v>
      </c>
    </row>
    <row r="83" spans="1:21" x14ac:dyDescent="0.2">
      <c r="A83" s="31">
        <v>0.88392490064410034</v>
      </c>
      <c r="B83" s="28" t="s">
        <v>1281</v>
      </c>
      <c r="C83" s="32">
        <v>0</v>
      </c>
      <c r="D83" s="32">
        <v>0</v>
      </c>
      <c r="E83" s="31">
        <v>0.50000000052480864</v>
      </c>
      <c r="F83" s="31">
        <v>0</v>
      </c>
      <c r="G83" s="31">
        <v>0</v>
      </c>
      <c r="H83" s="31">
        <v>0</v>
      </c>
      <c r="I83" s="31">
        <v>0</v>
      </c>
      <c r="J83" s="47" t="s">
        <v>1282</v>
      </c>
      <c r="K83" s="32">
        <v>0.26829926528930664</v>
      </c>
      <c r="L83" s="32">
        <v>0.26829927673001563</v>
      </c>
      <c r="M83" s="31">
        <v>-3.9303528042740399E-2</v>
      </c>
      <c r="N83" s="31">
        <v>8.1178753701800083E-3</v>
      </c>
      <c r="O83" s="31">
        <v>3.3134659427037949</v>
      </c>
      <c r="P83" s="31">
        <v>-6.2094196381476356</v>
      </c>
      <c r="Q83" s="31">
        <v>-0.42185427864410452</v>
      </c>
      <c r="R83" s="31">
        <v>0</v>
      </c>
      <c r="S83" s="31">
        <v>0.16999996209162882</v>
      </c>
      <c r="T83" s="27" t="s">
        <v>47</v>
      </c>
      <c r="U83" s="26" t="s">
        <v>46</v>
      </c>
    </row>
    <row r="84" spans="1:21" x14ac:dyDescent="0.2">
      <c r="A84" s="31">
        <v>0.8907770316568453</v>
      </c>
      <c r="B84" s="46" t="s">
        <v>1283</v>
      </c>
      <c r="C84" s="32">
        <v>0</v>
      </c>
      <c r="D84" s="32">
        <v>3.2643057357394346E-2</v>
      </c>
      <c r="E84" s="31">
        <v>0.50000000052480864</v>
      </c>
      <c r="F84" s="31">
        <v>0</v>
      </c>
      <c r="G84" s="31">
        <v>0</v>
      </c>
      <c r="H84" s="31">
        <v>0</v>
      </c>
      <c r="I84" s="31">
        <v>0</v>
      </c>
      <c r="J84" s="47" t="s">
        <v>1284</v>
      </c>
      <c r="K84" s="32">
        <v>0.26280619277954098</v>
      </c>
      <c r="L84" s="32">
        <v>0.2628053314941739</v>
      </c>
      <c r="M84" s="31">
        <v>-4.6075049116919953E-2</v>
      </c>
      <c r="N84" s="31">
        <v>9.4242445979434344E-3</v>
      </c>
      <c r="O84" s="31">
        <v>3.767929707435953</v>
      </c>
      <c r="P84" s="31">
        <v>-6.9157211698609453</v>
      </c>
      <c r="Q84" s="31">
        <v>-0.49458564112611325</v>
      </c>
      <c r="R84" s="31">
        <v>0</v>
      </c>
      <c r="S84" s="31">
        <v>0.20000324524825164</v>
      </c>
      <c r="T84" s="26" t="s">
        <v>46</v>
      </c>
      <c r="U84" s="26" t="s">
        <v>46</v>
      </c>
    </row>
    <row r="85" spans="1:21" x14ac:dyDescent="0.2">
      <c r="A85" s="31">
        <v>0.89762916266959025</v>
      </c>
      <c r="B85" s="46" t="s">
        <v>1285</v>
      </c>
      <c r="C85" s="32">
        <v>0.48639570124149328</v>
      </c>
      <c r="D85" s="32">
        <v>0.48639604172553746</v>
      </c>
      <c r="E85" s="31">
        <v>0.81515410414716905</v>
      </c>
      <c r="F85" s="31">
        <v>1.4062794693322384E-2</v>
      </c>
      <c r="G85" s="31">
        <v>10.405956655424349</v>
      </c>
      <c r="H85" s="31">
        <v>-35.664404366214285</v>
      </c>
      <c r="I85" s="31">
        <v>7.2831141207550942</v>
      </c>
      <c r="J85" s="47" t="s">
        <v>1286</v>
      </c>
      <c r="K85" s="32">
        <v>0.25603426432609555</v>
      </c>
      <c r="L85" s="32">
        <v>0.25603387443891751</v>
      </c>
      <c r="M85" s="31">
        <v>-5.3167270210832007E-2</v>
      </c>
      <c r="N85" s="31">
        <v>1.084451304045536E-2</v>
      </c>
      <c r="O85" s="31">
        <v>4.224047498103852</v>
      </c>
      <c r="P85" s="31">
        <v>-7.5521310130869015</v>
      </c>
      <c r="Q85" s="31">
        <v>-0.57065970501948515</v>
      </c>
      <c r="R85" s="31">
        <v>16.999996456936927</v>
      </c>
      <c r="S85" s="31">
        <v>0.2300016468988022</v>
      </c>
      <c r="T85" s="26" t="s">
        <v>46</v>
      </c>
      <c r="U85" s="26" t="s">
        <v>46</v>
      </c>
    </row>
    <row r="86" spans="1:21" x14ac:dyDescent="0.2">
      <c r="A86" s="31">
        <v>0.90448129368233521</v>
      </c>
      <c r="B86" s="46" t="s">
        <v>1287</v>
      </c>
      <c r="C86" s="32">
        <v>0.46034222998619079</v>
      </c>
      <c r="D86" s="32">
        <v>0.46034256994502043</v>
      </c>
      <c r="E86" s="31">
        <v>0.81025869119915495</v>
      </c>
      <c r="F86" s="31">
        <v>1.5100780073528521E-2</v>
      </c>
      <c r="G86" s="31">
        <v>10.575498498716893</v>
      </c>
      <c r="H86" s="31">
        <v>-34.31372800387431</v>
      </c>
      <c r="I86" s="31">
        <v>7.3070828903628593</v>
      </c>
      <c r="J86" s="47" t="s">
        <v>1288</v>
      </c>
      <c r="K86" s="32">
        <v>0.25030373086929325</v>
      </c>
      <c r="L86" s="32">
        <v>0.2503019808980827</v>
      </c>
      <c r="M86" s="31">
        <v>-6.2191320801843419E-2</v>
      </c>
      <c r="N86" s="31">
        <v>1.2548558070691527E-2</v>
      </c>
      <c r="O86" s="31">
        <v>4.7783922340924789</v>
      </c>
      <c r="P86" s="31">
        <v>-8.3508495386968544</v>
      </c>
      <c r="Q86" s="31">
        <v>-0.66758657001799659</v>
      </c>
      <c r="R86" s="31">
        <v>15.949996404765031</v>
      </c>
      <c r="S86" s="31">
        <v>0.27000836198279821</v>
      </c>
      <c r="T86" s="26" t="s">
        <v>46</v>
      </c>
      <c r="U86" s="26" t="s">
        <v>46</v>
      </c>
    </row>
    <row r="87" spans="1:21" x14ac:dyDescent="0.2">
      <c r="A87" s="31">
        <v>0.91133342469508016</v>
      </c>
      <c r="B87" s="28" t="s">
        <v>1289</v>
      </c>
      <c r="C87" s="32">
        <v>0</v>
      </c>
      <c r="D87" s="32">
        <v>0</v>
      </c>
      <c r="E87" s="31">
        <v>0.50000000052480864</v>
      </c>
      <c r="F87" s="31">
        <v>0</v>
      </c>
      <c r="G87" s="31">
        <v>0</v>
      </c>
      <c r="H87" s="31">
        <v>0</v>
      </c>
      <c r="I87" s="31">
        <v>0</v>
      </c>
      <c r="J87" s="47" t="s">
        <v>1290</v>
      </c>
      <c r="K87" s="32">
        <v>0.24691347517967224</v>
      </c>
      <c r="L87" s="32">
        <v>0.24691297453410577</v>
      </c>
      <c r="M87" s="31">
        <v>-7.458724857441934E-2</v>
      </c>
      <c r="N87" s="31">
        <v>1.4636680460007724E-2</v>
      </c>
      <c r="O87" s="31">
        <v>5.4980417298759807</v>
      </c>
      <c r="P87" s="31">
        <v>-9.4769890171908067</v>
      </c>
      <c r="Q87" s="31">
        <v>-0.80109050481173727</v>
      </c>
      <c r="R87" s="31">
        <v>0</v>
      </c>
      <c r="S87" s="31">
        <v>0.33000275256468159</v>
      </c>
      <c r="T87" s="27" t="s">
        <v>47</v>
      </c>
      <c r="U87" s="26" t="s">
        <v>46</v>
      </c>
    </row>
    <row r="88" spans="1:21" x14ac:dyDescent="0.2">
      <c r="A88" s="31">
        <v>0.91818555570782512</v>
      </c>
      <c r="B88" s="46" t="s">
        <v>1291</v>
      </c>
      <c r="C88" s="32">
        <v>0.41304601738452906</v>
      </c>
      <c r="D88" s="32">
        <v>0.41304606023457313</v>
      </c>
      <c r="E88" s="31">
        <v>0.79670117021847497</v>
      </c>
      <c r="F88" s="31">
        <v>1.7548749472130466E-2</v>
      </c>
      <c r="G88" s="31">
        <v>11.027200247014211</v>
      </c>
      <c r="H88" s="31">
        <v>-32.118640327507713</v>
      </c>
      <c r="I88" s="31">
        <v>7.3121836332704122</v>
      </c>
      <c r="J88" s="47" t="s">
        <v>1292</v>
      </c>
      <c r="K88" s="32">
        <v>0.23997561016082763</v>
      </c>
      <c r="L88" s="32">
        <v>0.23997440639117673</v>
      </c>
      <c r="M88" s="31">
        <v>-8.6050885640965413E-2</v>
      </c>
      <c r="N88" s="31">
        <v>1.6778486201730482E-2</v>
      </c>
      <c r="O88" s="31">
        <v>6.1254856646489815</v>
      </c>
      <c r="P88" s="31">
        <v>-10.260012089518415</v>
      </c>
      <c r="Q88" s="31">
        <v>-0.92416241678190636</v>
      </c>
      <c r="R88" s="31">
        <v>13.899999527483942</v>
      </c>
      <c r="S88" s="31">
        <v>0.38000737364087112</v>
      </c>
      <c r="T88" s="26" t="s">
        <v>46</v>
      </c>
      <c r="U88" s="26" t="s">
        <v>46</v>
      </c>
    </row>
    <row r="89" spans="1:21" x14ac:dyDescent="0.2">
      <c r="A89" s="31">
        <v>0.92503768672057007</v>
      </c>
      <c r="B89" s="46" t="s">
        <v>1293</v>
      </c>
      <c r="C89" s="32">
        <v>0</v>
      </c>
      <c r="D89" s="32">
        <v>187.31055855049584</v>
      </c>
      <c r="E89" s="31">
        <v>0.50000000052480864</v>
      </c>
      <c r="F89" s="31">
        <v>0</v>
      </c>
      <c r="G89" s="31">
        <v>0</v>
      </c>
      <c r="H89" s="31">
        <v>0</v>
      </c>
      <c r="I89" s="31">
        <v>0</v>
      </c>
      <c r="J89" s="47" t="s">
        <v>1294</v>
      </c>
      <c r="K89" s="32">
        <v>0.23469997177124025</v>
      </c>
      <c r="L89" s="32">
        <v>0.23469868631516752</v>
      </c>
      <c r="M89" s="31">
        <v>-0.10093912747488509</v>
      </c>
      <c r="N89" s="31">
        <v>1.9302404932961509E-2</v>
      </c>
      <c r="O89" s="31">
        <v>6.8919974436485134</v>
      </c>
      <c r="P89" s="31">
        <v>-11.287944791013645</v>
      </c>
      <c r="Q89" s="31">
        <v>-1.0843617170408555</v>
      </c>
      <c r="R89" s="31">
        <v>0</v>
      </c>
      <c r="S89" s="31">
        <v>0.45000885932239276</v>
      </c>
      <c r="T89" s="26" t="s">
        <v>46</v>
      </c>
      <c r="U89" s="26" t="s">
        <v>46</v>
      </c>
    </row>
    <row r="90" spans="1:21" x14ac:dyDescent="0.2">
      <c r="A90" s="31">
        <v>0.93188981773331503</v>
      </c>
      <c r="B90" s="28" t="s">
        <v>1295</v>
      </c>
      <c r="C90" s="32">
        <v>0</v>
      </c>
      <c r="D90" s="32">
        <v>0</v>
      </c>
      <c r="E90" s="31">
        <v>0.50000000052480864</v>
      </c>
      <c r="F90" s="31">
        <v>0</v>
      </c>
      <c r="G90" s="31">
        <v>0</v>
      </c>
      <c r="H90" s="31">
        <v>0</v>
      </c>
      <c r="I90" s="31">
        <v>0</v>
      </c>
      <c r="J90" s="47" t="s">
        <v>1296</v>
      </c>
      <c r="K90" s="32">
        <v>0.23034127595424653</v>
      </c>
      <c r="L90" s="32">
        <v>0.23034123343282328</v>
      </c>
      <c r="M90" s="31">
        <v>-0.11913736131900543</v>
      </c>
      <c r="N90" s="31">
        <v>2.2152638418368509E-2</v>
      </c>
      <c r="O90" s="31">
        <v>7.7627906710940024</v>
      </c>
      <c r="P90" s="31">
        <v>-12.475405876724409</v>
      </c>
      <c r="Q90" s="31">
        <v>-1.2804931768381855</v>
      </c>
      <c r="R90" s="31">
        <v>0</v>
      </c>
      <c r="S90" s="31">
        <v>0.54000033008486881</v>
      </c>
      <c r="T90" s="27" t="s">
        <v>47</v>
      </c>
      <c r="U90" s="26" t="s">
        <v>46</v>
      </c>
    </row>
    <row r="91" spans="1:21" x14ac:dyDescent="0.2">
      <c r="A91" s="31">
        <v>0.93874194874605998</v>
      </c>
      <c r="B91" s="46" t="s">
        <v>1297</v>
      </c>
      <c r="C91" s="32">
        <v>0.30473378529548656</v>
      </c>
      <c r="D91" s="32">
        <v>0.304733718361199</v>
      </c>
      <c r="E91" s="31">
        <v>0.79358307487732704</v>
      </c>
      <c r="F91" s="31">
        <v>2.4002411699443546E-2</v>
      </c>
      <c r="G91" s="31">
        <v>11.127462392808647</v>
      </c>
      <c r="H91" s="31">
        <v>-23.978851833252858</v>
      </c>
      <c r="I91" s="31">
        <v>7.5296796085901772</v>
      </c>
      <c r="J91" s="47" t="s">
        <v>1298</v>
      </c>
      <c r="K91" s="32">
        <v>0.22634592399597167</v>
      </c>
      <c r="L91" s="32">
        <v>0.22634596942087254</v>
      </c>
      <c r="M91" s="31">
        <v>-0.14052914203220213</v>
      </c>
      <c r="N91" s="31">
        <v>2.527606064805759E-2</v>
      </c>
      <c r="O91" s="31">
        <v>8.7036759866991602</v>
      </c>
      <c r="P91" s="31">
        <v>-13.741625799044343</v>
      </c>
      <c r="Q91" s="31">
        <v>-1.5113442407596327</v>
      </c>
      <c r="R91" s="31">
        <v>10.400000744808736</v>
      </c>
      <c r="S91" s="31">
        <v>0.64999960463635853</v>
      </c>
      <c r="T91" s="26" t="s">
        <v>46</v>
      </c>
      <c r="U91" s="26" t="s">
        <v>46</v>
      </c>
    </row>
    <row r="92" spans="1:21" x14ac:dyDescent="0.2">
      <c r="A92" s="31">
        <v>0.94559407975880505</v>
      </c>
      <c r="B92" s="46" t="s">
        <v>1299</v>
      </c>
      <c r="C92" s="32">
        <v>0.30099735159873964</v>
      </c>
      <c r="D92" s="32">
        <v>0.30099724900960406</v>
      </c>
      <c r="E92" s="31">
        <v>0.76964281006426805</v>
      </c>
      <c r="F92" s="31">
        <v>2.588657642121444E-2</v>
      </c>
      <c r="G92" s="31">
        <v>11.853809403661216</v>
      </c>
      <c r="H92" s="31">
        <v>-25.212016497185424</v>
      </c>
      <c r="I92" s="31">
        <v>7.337262086260715</v>
      </c>
      <c r="J92" s="47" t="s">
        <v>1300</v>
      </c>
      <c r="K92" s="32">
        <v>0.22231624033451081</v>
      </c>
      <c r="L92" s="32">
        <v>0.22231602921684357</v>
      </c>
      <c r="M92" s="31">
        <v>-0.16502970697631458</v>
      </c>
      <c r="N92" s="31">
        <v>2.8630480282134958E-2</v>
      </c>
      <c r="O92" s="31">
        <v>9.6832349817395009</v>
      </c>
      <c r="P92" s="31">
        <v>-15.011994569115569</v>
      </c>
      <c r="Q92" s="31">
        <v>-1.7760310185099264</v>
      </c>
      <c r="R92" s="31">
        <v>9.600001216071945</v>
      </c>
      <c r="S92" s="31">
        <v>0.78000204430111442</v>
      </c>
      <c r="T92" s="26" t="s">
        <v>46</v>
      </c>
      <c r="U92" s="26" t="s">
        <v>46</v>
      </c>
    </row>
    <row r="93" spans="1:21" x14ac:dyDescent="0.2">
      <c r="A93" s="31">
        <v>0.95244621077155001</v>
      </c>
      <c r="B93" s="46" t="s">
        <v>1301</v>
      </c>
      <c r="C93" s="32">
        <v>0.29539985349178316</v>
      </c>
      <c r="D93" s="32">
        <v>0.2954000653406274</v>
      </c>
      <c r="E93" s="31">
        <v>0.74495071320851158</v>
      </c>
      <c r="F93" s="31">
        <v>2.7872566727547739E-2</v>
      </c>
      <c r="G93" s="31">
        <v>12.525869640199238</v>
      </c>
      <c r="H93" s="31">
        <v>-26.130792039688412</v>
      </c>
      <c r="I93" s="31">
        <v>7.1370075678325691</v>
      </c>
      <c r="J93" s="47" t="s">
        <v>1302</v>
      </c>
      <c r="K93" s="32">
        <v>0.21890309684276577</v>
      </c>
      <c r="L93" s="32">
        <v>0.21890281291721694</v>
      </c>
      <c r="M93" s="31">
        <v>-0.1935612063689508</v>
      </c>
      <c r="N93" s="31">
        <v>3.2146236249991494E-2</v>
      </c>
      <c r="O93" s="31">
        <v>10.705394745354425</v>
      </c>
      <c r="P93" s="31">
        <v>-16.33697529482545</v>
      </c>
      <c r="Q93" s="31">
        <v>-2.0848802469266232</v>
      </c>
      <c r="R93" s="31">
        <v>8.7999973464086452</v>
      </c>
      <c r="S93" s="31">
        <v>0.94000303953368514</v>
      </c>
      <c r="T93" s="26" t="s">
        <v>46</v>
      </c>
      <c r="U93" s="26" t="s">
        <v>46</v>
      </c>
    </row>
    <row r="94" spans="1:21" x14ac:dyDescent="0.2">
      <c r="A94" s="31">
        <v>0.95929834178429496</v>
      </c>
      <c r="B94" s="46" t="s">
        <v>1303</v>
      </c>
      <c r="C94" s="32">
        <v>0.1311841647148132</v>
      </c>
      <c r="D94" s="32">
        <v>0.13118503029403558</v>
      </c>
      <c r="E94" s="31">
        <v>0.88636130999436835</v>
      </c>
      <c r="F94" s="31">
        <v>3.7614619732553201E-2</v>
      </c>
      <c r="G94" s="31">
        <v>7.506867288352022</v>
      </c>
      <c r="H94" s="31">
        <v>-7.1766176313658283</v>
      </c>
      <c r="I94" s="31">
        <v>8.7932555103703525</v>
      </c>
      <c r="J94" s="47" t="s">
        <v>1304</v>
      </c>
      <c r="K94" s="32">
        <v>0.21650559957027432</v>
      </c>
      <c r="L94" s="32">
        <v>0.21650575838245548</v>
      </c>
      <c r="M94" s="31">
        <v>-0.22665918077640335</v>
      </c>
      <c r="N94" s="31">
        <v>3.5663157155083156E-2</v>
      </c>
      <c r="O94" s="31">
        <v>11.746529364217766</v>
      </c>
      <c r="P94" s="31">
        <v>-17.7236228096281</v>
      </c>
      <c r="Q94" s="31">
        <v>-2.444188523618084</v>
      </c>
      <c r="R94" s="31">
        <v>6.2499935021813116</v>
      </c>
      <c r="S94" s="31">
        <v>1.1399981345076764</v>
      </c>
      <c r="T94" s="26" t="s">
        <v>46</v>
      </c>
      <c r="U94" s="26" t="s">
        <v>46</v>
      </c>
    </row>
    <row r="95" spans="1:21" x14ac:dyDescent="0.2">
      <c r="A95" s="31">
        <v>0.96615047279703992</v>
      </c>
      <c r="B95" s="46" t="s">
        <v>1305</v>
      </c>
      <c r="C95" s="32">
        <v>0.12655796771049502</v>
      </c>
      <c r="D95" s="32">
        <v>0.12655903134407881</v>
      </c>
      <c r="E95" s="31">
        <v>0.85079572367091583</v>
      </c>
      <c r="F95" s="31">
        <v>4.7066346239538571E-2</v>
      </c>
      <c r="G95" s="31">
        <v>9.0619283855954951</v>
      </c>
      <c r="H95" s="31">
        <v>-8.3012895008538443</v>
      </c>
      <c r="I95" s="31">
        <v>8.4867956745575874</v>
      </c>
      <c r="J95" s="47" t="s">
        <v>1306</v>
      </c>
      <c r="K95" s="32">
        <v>0.21381771330833435</v>
      </c>
      <c r="L95" s="32">
        <v>0.21381797704755542</v>
      </c>
      <c r="M95" s="31">
        <v>-0.26302486756253174</v>
      </c>
      <c r="N95" s="31">
        <v>3.9125451475075623E-2</v>
      </c>
      <c r="O95" s="31">
        <v>12.726931035578037</v>
      </c>
      <c r="P95" s="31">
        <v>-18.957264587789101</v>
      </c>
      <c r="Q95" s="31">
        <v>-2.8397034916792188</v>
      </c>
      <c r="R95" s="31">
        <v>5.3499903613862614</v>
      </c>
      <c r="S95" s="31">
        <v>1.3699966434083604</v>
      </c>
      <c r="T95" s="26" t="s">
        <v>46</v>
      </c>
      <c r="U95" s="26" t="s">
        <v>46</v>
      </c>
    </row>
    <row r="96" spans="1:21" x14ac:dyDescent="0.2">
      <c r="A96" s="31">
        <v>0.97300260380978487</v>
      </c>
      <c r="B96" s="46" t="s">
        <v>1307</v>
      </c>
      <c r="C96" s="32">
        <v>0.12798273339271546</v>
      </c>
      <c r="D96" s="32">
        <v>0.12798328342856147</v>
      </c>
      <c r="E96" s="31">
        <v>0.79447347372814037</v>
      </c>
      <c r="F96" s="31">
        <v>5.7004686517283513E-2</v>
      </c>
      <c r="G96" s="31">
        <v>11.098967795551815</v>
      </c>
      <c r="H96" s="31">
        <v>-10.19954322541092</v>
      </c>
      <c r="I96" s="31">
        <v>7.9568189821062987</v>
      </c>
      <c r="J96" s="47" t="s">
        <v>1308</v>
      </c>
      <c r="K96" s="32">
        <v>0.21284069025516511</v>
      </c>
      <c r="L96" s="32">
        <v>0.21284063873434911</v>
      </c>
      <c r="M96" s="31">
        <v>-0.30416518101337886</v>
      </c>
      <c r="N96" s="31">
        <v>4.2142404656837759E-2</v>
      </c>
      <c r="O96" s="31">
        <v>13.645662317072505</v>
      </c>
      <c r="P96" s="31">
        <v>-20.224550601127124</v>
      </c>
      <c r="Q96" s="31">
        <v>-3.2892765451903476</v>
      </c>
      <c r="R96" s="31">
        <v>4.5499938951613359</v>
      </c>
      <c r="S96" s="31">
        <v>1.6600007030356592</v>
      </c>
      <c r="T96" s="26" t="s">
        <v>46</v>
      </c>
      <c r="U96" s="26" t="s">
        <v>46</v>
      </c>
    </row>
    <row r="97" spans="1:21" x14ac:dyDescent="0.2">
      <c r="A97" s="31">
        <v>0.97985473482252983</v>
      </c>
      <c r="B97" s="46" t="s">
        <v>1309</v>
      </c>
      <c r="C97" s="32">
        <v>0.12820588946342468</v>
      </c>
      <c r="D97" s="32">
        <v>0.12820611253125985</v>
      </c>
      <c r="E97" s="31">
        <v>0.73100801285451522</v>
      </c>
      <c r="F97" s="31">
        <v>6.5997919305547534E-2</v>
      </c>
      <c r="G97" s="31">
        <v>12.872380480639576</v>
      </c>
      <c r="H97" s="31">
        <v>-11.788836536972061</v>
      </c>
      <c r="I97" s="31">
        <v>7.3488078803695993</v>
      </c>
      <c r="J97" s="47" t="s">
        <v>1310</v>
      </c>
      <c r="K97" s="32">
        <v>0.21097533438205718</v>
      </c>
      <c r="L97" s="32">
        <v>0.21097540352745989</v>
      </c>
      <c r="M97" s="31">
        <v>-0.34751755723963718</v>
      </c>
      <c r="N97" s="31">
        <v>4.4894692336564887E-2</v>
      </c>
      <c r="O97" s="31">
        <v>14.409447589656796</v>
      </c>
      <c r="P97" s="31">
        <v>-21.159063723665728</v>
      </c>
      <c r="Q97" s="31">
        <v>-3.7640509551013763</v>
      </c>
      <c r="R97" s="31">
        <v>3.799997128585062</v>
      </c>
      <c r="S97" s="31">
        <v>1.9799990036529365</v>
      </c>
      <c r="T97" s="26" t="s">
        <v>46</v>
      </c>
      <c r="U97" s="26" t="s">
        <v>46</v>
      </c>
    </row>
    <row r="98" spans="1:21" x14ac:dyDescent="0.2">
      <c r="A98" s="31">
        <v>0.98670686583527478</v>
      </c>
      <c r="B98" s="46" t="s">
        <v>1311</v>
      </c>
      <c r="C98" s="32">
        <v>0.13405658388137814</v>
      </c>
      <c r="D98" s="32">
        <v>0.1340572504418289</v>
      </c>
      <c r="E98" s="31">
        <v>0.65395210105069479</v>
      </c>
      <c r="F98" s="31">
        <v>7.0543541434714474E-2</v>
      </c>
      <c r="G98" s="31">
        <v>14.38686123535348</v>
      </c>
      <c r="H98" s="31">
        <v>-13.712721178302612</v>
      </c>
      <c r="I98" s="31">
        <v>6.5884126830507466</v>
      </c>
      <c r="J98" s="47" t="s">
        <v>1312</v>
      </c>
      <c r="K98" s="32">
        <v>0.2121655000925064</v>
      </c>
      <c r="L98" s="32">
        <v>0.21216579711447447</v>
      </c>
      <c r="M98" s="31">
        <v>-0.39463722159923331</v>
      </c>
      <c r="N98" s="31">
        <v>4.6517397485954022E-2</v>
      </c>
      <c r="O98" s="31">
        <v>15.014498217477339</v>
      </c>
      <c r="P98" s="31">
        <v>-22.160947961536543</v>
      </c>
      <c r="Q98" s="31">
        <v>-4.2845248169979309</v>
      </c>
      <c r="R98" s="31">
        <v>3.1999904102839025</v>
      </c>
      <c r="S98" s="31">
        <v>2.3899955403640192</v>
      </c>
      <c r="T98" s="26" t="s">
        <v>46</v>
      </c>
      <c r="U98" s="26" t="s">
        <v>46</v>
      </c>
    </row>
    <row r="99" spans="1:21" x14ac:dyDescent="0.2">
      <c r="A99" s="31">
        <v>0.99355899684801974</v>
      </c>
      <c r="B99" s="46" t="s">
        <v>1313</v>
      </c>
      <c r="C99" s="32">
        <v>0.13429690580368042</v>
      </c>
      <c r="D99" s="32">
        <v>0.1342972125263798</v>
      </c>
      <c r="E99" s="31">
        <v>0.58025936870321582</v>
      </c>
      <c r="F99" s="31">
        <v>7.4614686350918585E-2</v>
      </c>
      <c r="G99" s="31">
        <v>15.24442235184091</v>
      </c>
      <c r="H99" s="31">
        <v>-14.519742308954955</v>
      </c>
      <c r="I99" s="31">
        <v>5.8630757962130904</v>
      </c>
      <c r="J99" s="47" t="s">
        <v>1314</v>
      </c>
      <c r="K99" s="32">
        <v>0.21148029651641842</v>
      </c>
      <c r="L99" s="32">
        <v>0.21147986745558303</v>
      </c>
      <c r="M99" s="31">
        <v>-0.44216031429208524</v>
      </c>
      <c r="N99" s="31">
        <v>4.7855640664813084E-2</v>
      </c>
      <c r="O99" s="31">
        <v>15.39655981374572</v>
      </c>
      <c r="P99" s="31">
        <v>-22.637580826263967</v>
      </c>
      <c r="Q99" s="31">
        <v>-4.8106340665233143</v>
      </c>
      <c r="R99" s="31">
        <v>2.5999953241894502</v>
      </c>
      <c r="S99" s="31">
        <v>2.8200066060607285</v>
      </c>
      <c r="T99" s="26" t="s">
        <v>46</v>
      </c>
      <c r="U99" s="26" t="s">
        <v>46</v>
      </c>
    </row>
    <row r="100" spans="1:21" x14ac:dyDescent="0.2">
      <c r="A100" s="31">
        <v>1.0004111278607648</v>
      </c>
      <c r="B100" s="46" t="s">
        <v>1315</v>
      </c>
      <c r="C100" s="32">
        <v>0.13481760330200196</v>
      </c>
      <c r="D100" s="32">
        <v>0.13481757151106688</v>
      </c>
      <c r="E100" s="31">
        <v>0.50445507180546778</v>
      </c>
      <c r="F100" s="31">
        <v>7.5862309332652658E-2</v>
      </c>
      <c r="G100" s="31">
        <v>15.559416610863686</v>
      </c>
      <c r="H100" s="31">
        <v>-14.848325166339576</v>
      </c>
      <c r="I100" s="31">
        <v>5.1100115702353266</v>
      </c>
      <c r="J100" s="47" t="s">
        <v>1316</v>
      </c>
      <c r="K100" s="32">
        <v>0.21091954536437987</v>
      </c>
      <c r="L100" s="32">
        <v>0.21091956347524127</v>
      </c>
      <c r="M100" s="31">
        <v>-0.49050287546598947</v>
      </c>
      <c r="N100" s="31">
        <v>4.8479689845098428E-2</v>
      </c>
      <c r="O100" s="31">
        <v>15.555977539165465</v>
      </c>
      <c r="P100" s="31">
        <v>-22.795184761778557</v>
      </c>
      <c r="Q100" s="31">
        <v>-5.3488574545475185</v>
      </c>
      <c r="R100" s="31">
        <v>2.0800004946484023</v>
      </c>
      <c r="S100" s="31">
        <v>3.2999997182678316</v>
      </c>
      <c r="T100" s="26" t="s">
        <v>46</v>
      </c>
      <c r="U100" s="26" t="s">
        <v>46</v>
      </c>
    </row>
    <row r="101" spans="1:21" x14ac:dyDescent="0.2">
      <c r="A101" s="31">
        <v>1.0072632588735098</v>
      </c>
      <c r="B101" s="46" t="s">
        <v>1317</v>
      </c>
      <c r="C101" s="32">
        <v>0.13366606075763704</v>
      </c>
      <c r="D101" s="32">
        <v>0.13366552304845913</v>
      </c>
      <c r="E101" s="31">
        <v>0.4285284603519709</v>
      </c>
      <c r="F101" s="31">
        <v>7.5289340547604222E-2</v>
      </c>
      <c r="G101" s="31">
        <v>15.310003522238778</v>
      </c>
      <c r="H101" s="31">
        <v>-14.465132737174287</v>
      </c>
      <c r="I101" s="31">
        <v>4.3521027997468709</v>
      </c>
      <c r="J101" s="47" t="s">
        <v>1318</v>
      </c>
      <c r="K101" s="32">
        <v>0.21498642170429233</v>
      </c>
      <c r="L101" s="32">
        <v>0.21498643785431057</v>
      </c>
      <c r="M101" s="31">
        <v>-0.53759085291144604</v>
      </c>
      <c r="N101" s="31">
        <v>4.7364725713815926E-2</v>
      </c>
      <c r="O101" s="31">
        <v>15.491258680902549</v>
      </c>
      <c r="P101" s="31">
        <v>-23.123453094939439</v>
      </c>
      <c r="Q101" s="31">
        <v>-5.882571601867209</v>
      </c>
      <c r="R101" s="31">
        <v>1.6100082323287594</v>
      </c>
      <c r="S101" s="31">
        <v>3.8999997498159007</v>
      </c>
      <c r="T101" s="26" t="s">
        <v>46</v>
      </c>
      <c r="U101" s="26" t="s">
        <v>46</v>
      </c>
    </row>
    <row r="102" spans="1:21" x14ac:dyDescent="0.2">
      <c r="A102" s="31">
        <v>1.0141153898862547</v>
      </c>
      <c r="B102" s="46" t="s">
        <v>1319</v>
      </c>
      <c r="C102" s="32">
        <v>0.13628242263793947</v>
      </c>
      <c r="D102" s="32">
        <v>0.13628189400804161</v>
      </c>
      <c r="E102" s="31">
        <v>0.35863542550682059</v>
      </c>
      <c r="F102" s="31">
        <v>7.0288932489833644E-2</v>
      </c>
      <c r="G102" s="31">
        <v>14.572948862545351</v>
      </c>
      <c r="H102" s="31">
        <v>-14.019716694211244</v>
      </c>
      <c r="I102" s="31">
        <v>3.6478031815481806</v>
      </c>
      <c r="J102" s="47" t="s">
        <v>1320</v>
      </c>
      <c r="K102" s="32">
        <v>0.21936371386051173</v>
      </c>
      <c r="L102" s="32">
        <v>0.21936368224210029</v>
      </c>
      <c r="M102" s="31">
        <v>-0.58198136977946646</v>
      </c>
      <c r="N102" s="31">
        <v>4.5638730693502681E-2</v>
      </c>
      <c r="O102" s="31">
        <v>15.230669550335056</v>
      </c>
      <c r="P102" s="31">
        <v>-23.181579638862008</v>
      </c>
      <c r="Q102" s="31">
        <v>-6.3917397870792474</v>
      </c>
      <c r="R102" s="31">
        <v>1.2700077036943114</v>
      </c>
      <c r="S102" s="31">
        <v>4.5500004815695707</v>
      </c>
      <c r="T102" s="26" t="s">
        <v>46</v>
      </c>
      <c r="U102" s="26" t="s">
        <v>46</v>
      </c>
    </row>
    <row r="103" spans="1:21" x14ac:dyDescent="0.2">
      <c r="A103" s="31">
        <v>1.0209675208989997</v>
      </c>
      <c r="B103" s="46" t="s">
        <v>1321</v>
      </c>
      <c r="C103" s="32">
        <v>0.13716789448261263</v>
      </c>
      <c r="D103" s="32">
        <v>0.13716773289390946</v>
      </c>
      <c r="E103" s="31">
        <v>0.2934871213520126</v>
      </c>
      <c r="F103" s="31">
        <v>6.4338117232744477E-2</v>
      </c>
      <c r="G103" s="31">
        <v>13.425840028300069</v>
      </c>
      <c r="H103" s="31">
        <v>-12.987440921662351</v>
      </c>
      <c r="I103" s="31">
        <v>2.9901075548523695</v>
      </c>
      <c r="J103" s="47" t="s">
        <v>1322</v>
      </c>
      <c r="K103" s="32">
        <v>0.22433036692142483</v>
      </c>
      <c r="L103" s="32">
        <v>0.22433049331717314</v>
      </c>
      <c r="M103" s="31">
        <v>-0.62300719658470582</v>
      </c>
      <c r="N103" s="31">
        <v>4.340953424053131E-2</v>
      </c>
      <c r="O103" s="31">
        <v>14.814733416360189</v>
      </c>
      <c r="P103" s="31">
        <v>-23.042567241567181</v>
      </c>
      <c r="Q103" s="31">
        <v>-6.8694049807156388</v>
      </c>
      <c r="R103" s="31">
        <v>0.97000216946366891</v>
      </c>
      <c r="S103" s="31">
        <v>5.2499981274806302</v>
      </c>
      <c r="T103" s="26" t="s">
        <v>46</v>
      </c>
      <c r="U103" s="26" t="s">
        <v>46</v>
      </c>
    </row>
    <row r="104" spans="1:21" x14ac:dyDescent="0.2">
      <c r="A104" s="31">
        <v>1.0278196519117446</v>
      </c>
      <c r="B104" s="46" t="s">
        <v>1323</v>
      </c>
      <c r="C104" s="32">
        <v>0.13894169914722446</v>
      </c>
      <c r="D104" s="32">
        <v>0.13894227633975659</v>
      </c>
      <c r="E104" s="31">
        <v>0.2370103860699293</v>
      </c>
      <c r="F104" s="31">
        <v>5.6971832889933502E-2</v>
      </c>
      <c r="G104" s="31">
        <v>12.042411006185938</v>
      </c>
      <c r="H104" s="31">
        <v>-11.79020472535298</v>
      </c>
      <c r="I104" s="31">
        <v>2.4178073339131192</v>
      </c>
      <c r="J104" s="47" t="s">
        <v>1324</v>
      </c>
      <c r="K104" s="32">
        <v>0.23022969791889192</v>
      </c>
      <c r="L104" s="32">
        <v>0.23022919203755246</v>
      </c>
      <c r="M104" s="31">
        <v>-0.66001725425007984</v>
      </c>
      <c r="N104" s="31">
        <v>4.0802576516588758E-2</v>
      </c>
      <c r="O104" s="31">
        <v>14.291229045118314</v>
      </c>
      <c r="P104" s="31">
        <v>-22.796514682910956</v>
      </c>
      <c r="Q104" s="31">
        <v>-7.3087807055909604</v>
      </c>
      <c r="R104" s="31">
        <v>0.73999304920251063</v>
      </c>
      <c r="S104" s="31">
        <v>6.0000072296645603</v>
      </c>
      <c r="T104" s="26" t="s">
        <v>46</v>
      </c>
      <c r="U104" s="26" t="s">
        <v>46</v>
      </c>
    </row>
    <row r="105" spans="1:21" x14ac:dyDescent="0.2">
      <c r="A105" s="31">
        <v>1.044949979443607</v>
      </c>
      <c r="B105" s="46" t="s">
        <v>1325</v>
      </c>
      <c r="C105" s="32">
        <v>0.14217746217250821</v>
      </c>
      <c r="D105" s="32">
        <v>0.14217762211490792</v>
      </c>
      <c r="E105" s="31">
        <v>0.12843894210545559</v>
      </c>
      <c r="F105" s="31">
        <v>3.7829002941395511E-2</v>
      </c>
      <c r="G105" s="31">
        <v>8.1823169975635359</v>
      </c>
      <c r="H105" s="31">
        <v>-8.1856945365164204</v>
      </c>
      <c r="I105" s="31">
        <v>1.3138844311956026</v>
      </c>
      <c r="J105" s="47" t="s">
        <v>1326</v>
      </c>
      <c r="K105" s="32">
        <v>0.2326701098203659</v>
      </c>
      <c r="L105" s="32">
        <v>0.23266962875926753</v>
      </c>
      <c r="M105" s="31">
        <v>-0.74963738581069905</v>
      </c>
      <c r="N105" s="31">
        <v>3.5043289879366349E-2</v>
      </c>
      <c r="O105" s="31">
        <v>12.404124430221813</v>
      </c>
      <c r="P105" s="31">
        <v>-19.932803153965533</v>
      </c>
      <c r="Q105" s="31">
        <v>-8.3751490643109783</v>
      </c>
      <c r="R105" s="31">
        <v>0.34999869129962136</v>
      </c>
      <c r="S105" s="31">
        <v>7.8500059671386557</v>
      </c>
      <c r="T105" s="26" t="s">
        <v>46</v>
      </c>
      <c r="U105" s="26" t="s">
        <v>46</v>
      </c>
    </row>
    <row r="106" spans="1:21" x14ac:dyDescent="0.2">
      <c r="A106" s="31">
        <v>1.0620803069754694</v>
      </c>
      <c r="B106" s="46" t="s">
        <v>1327</v>
      </c>
      <c r="C106" s="32">
        <v>0.15050433068275451</v>
      </c>
      <c r="D106" s="32">
        <v>0.15050513051896944</v>
      </c>
      <c r="E106" s="31">
        <v>7.0354255942126409E-2</v>
      </c>
      <c r="F106" s="31">
        <v>2.2961434178805022E-2</v>
      </c>
      <c r="G106" s="31">
        <v>5.2573713679538043</v>
      </c>
      <c r="H106" s="31">
        <v>-5.5620013688582546</v>
      </c>
      <c r="I106" s="31">
        <v>0.7205359213137239</v>
      </c>
      <c r="J106" s="47" t="s">
        <v>1328</v>
      </c>
      <c r="K106" s="32">
        <v>0.25507583761215213</v>
      </c>
      <c r="L106" s="32">
        <v>0.25507605211769729</v>
      </c>
      <c r="M106" s="31">
        <v>-0.80150234106536444</v>
      </c>
      <c r="N106" s="31">
        <v>2.8012200998997729E-2</v>
      </c>
      <c r="O106" s="31">
        <v>10.870191710814655</v>
      </c>
      <c r="P106" s="31">
        <v>-19.116798923589979</v>
      </c>
      <c r="Q106" s="31">
        <v>-9.0765175743808921</v>
      </c>
      <c r="R106" s="31">
        <v>0.17999579493907625</v>
      </c>
      <c r="S106" s="31">
        <v>10.09999766828286</v>
      </c>
      <c r="T106" s="26" t="s">
        <v>46</v>
      </c>
      <c r="U106" s="26" t="s">
        <v>46</v>
      </c>
    </row>
    <row r="107" spans="1:21" x14ac:dyDescent="0.2">
      <c r="A107" s="31">
        <v>1.0792106345073318</v>
      </c>
      <c r="B107" s="46" t="s">
        <v>1329</v>
      </c>
      <c r="C107" s="32">
        <v>0.14278255844116208</v>
      </c>
      <c r="D107" s="32">
        <v>0.14278363862812743</v>
      </c>
      <c r="E107" s="31">
        <v>2.4177141519630352E-2</v>
      </c>
      <c r="F107" s="31">
        <v>1.0203897838580389E-2</v>
      </c>
      <c r="G107" s="31">
        <v>2.2164702656318807</v>
      </c>
      <c r="H107" s="31">
        <v>-2.2233134181763958</v>
      </c>
      <c r="I107" s="31">
        <v>0.24845812194478054</v>
      </c>
      <c r="J107" s="47" t="s">
        <v>1330</v>
      </c>
      <c r="K107" s="32">
        <v>0</v>
      </c>
      <c r="L107" s="32">
        <v>0</v>
      </c>
      <c r="M107" s="31">
        <v>-0.50000000052480864</v>
      </c>
      <c r="N107" s="31">
        <v>0</v>
      </c>
      <c r="O107" s="31">
        <v>0</v>
      </c>
      <c r="P107" s="31">
        <v>0</v>
      </c>
      <c r="Q107" s="31">
        <v>0</v>
      </c>
      <c r="R107" s="31">
        <v>4.9997605761727293E-2</v>
      </c>
      <c r="S107" s="31">
        <v>0</v>
      </c>
      <c r="T107" s="26" t="s">
        <v>46</v>
      </c>
      <c r="U107" s="26" t="s">
        <v>46</v>
      </c>
    </row>
    <row r="108" spans="1:21" x14ac:dyDescent="0.2">
      <c r="A108" s="31">
        <v>1.0963409620391942</v>
      </c>
      <c r="B108" s="46" t="s">
        <v>1331</v>
      </c>
      <c r="C108" s="32">
        <v>0.15534796180725102</v>
      </c>
      <c r="D108" s="32">
        <v>0.15534348988189464</v>
      </c>
      <c r="E108" s="31">
        <v>1.4238880735098491E-2</v>
      </c>
      <c r="F108" s="31">
        <v>5.9762066472678699E-3</v>
      </c>
      <c r="G108" s="31">
        <v>1.4123808289661313</v>
      </c>
      <c r="H108" s="31">
        <v>-1.5405838193336292</v>
      </c>
      <c r="I108" s="31">
        <v>0.14628688835280723</v>
      </c>
      <c r="J108" s="47" t="s">
        <v>1332</v>
      </c>
      <c r="K108" s="32">
        <v>0.32242319536209102</v>
      </c>
      <c r="L108" s="32">
        <v>0.322422316532255</v>
      </c>
      <c r="M108" s="31">
        <v>-0.84670349545258305</v>
      </c>
      <c r="N108" s="31">
        <v>1.8810067212271343E-2</v>
      </c>
      <c r="O108" s="31">
        <v>9.2265061009737064</v>
      </c>
      <c r="P108" s="31">
        <v>-20.505170857366565</v>
      </c>
      <c r="Q108" s="31">
        <v>-9.8977079614852261</v>
      </c>
      <c r="R108" s="31">
        <v>3.0006315617121082E-2</v>
      </c>
      <c r="S108" s="31">
        <v>15.000008108516319</v>
      </c>
      <c r="T108" s="26" t="s">
        <v>46</v>
      </c>
      <c r="U108" s="26" t="s">
        <v>46</v>
      </c>
    </row>
    <row r="109" spans="1:21" x14ac:dyDescent="0.2">
      <c r="A109" s="31">
        <v>1.1134712895710566</v>
      </c>
      <c r="B109" s="46" t="s">
        <v>1333</v>
      </c>
      <c r="C109" s="32">
        <v>9.3848437499999993E-2</v>
      </c>
      <c r="D109" s="32">
        <v>7.3798575319894241E-2</v>
      </c>
      <c r="E109" s="31">
        <v>9.9509252321494657E-6</v>
      </c>
      <c r="F109" s="31">
        <v>1.2170270311257577E-5</v>
      </c>
      <c r="G109" s="31">
        <v>1.7375924420735482E-3</v>
      </c>
      <c r="H109" s="31">
        <v>-1.1448147558194488E-3</v>
      </c>
      <c r="I109" s="31">
        <v>1.0318030796791099E-4</v>
      </c>
      <c r="J109" s="29" t="s">
        <v>1334</v>
      </c>
      <c r="K109" s="32">
        <v>0</v>
      </c>
      <c r="L109" s="32">
        <v>0</v>
      </c>
      <c r="M109" s="31">
        <v>-0.50000000052480864</v>
      </c>
      <c r="N109" s="31">
        <v>0</v>
      </c>
      <c r="O109" s="31">
        <v>0</v>
      </c>
      <c r="P109" s="31">
        <v>0</v>
      </c>
      <c r="Q109" s="31">
        <v>0</v>
      </c>
      <c r="R109" s="31">
        <v>7.7420245872782123E-6</v>
      </c>
      <c r="S109" s="31">
        <v>0</v>
      </c>
      <c r="T109" s="26" t="s">
        <v>46</v>
      </c>
      <c r="U109" s="27" t="s">
        <v>47</v>
      </c>
    </row>
    <row r="110" spans="1:21" x14ac:dyDescent="0.2">
      <c r="A110" s="31">
        <v>1.130601617102919</v>
      </c>
      <c r="B110" s="46" t="s">
        <v>1335</v>
      </c>
      <c r="C110" s="32">
        <v>9.3848437499999993E-2</v>
      </c>
      <c r="D110" s="32">
        <v>8.410494442953978E-2</v>
      </c>
      <c r="E110" s="31">
        <v>5.4523521819671572E-7</v>
      </c>
      <c r="F110" s="31">
        <v>7.5346871767968961E-7</v>
      </c>
      <c r="G110" s="31">
        <v>1.0757538786694317E-4</v>
      </c>
      <c r="H110" s="31">
        <v>-7.0852624500195119E-5</v>
      </c>
      <c r="I110" s="31">
        <v>5.6568337519135021E-6</v>
      </c>
      <c r="J110" s="47" t="s">
        <v>1336</v>
      </c>
      <c r="K110" s="32">
        <v>0</v>
      </c>
      <c r="L110" s="32">
        <v>0</v>
      </c>
      <c r="M110" s="31">
        <v>-0.50000000052480864</v>
      </c>
      <c r="N110" s="31">
        <v>0</v>
      </c>
      <c r="O110" s="31">
        <v>0</v>
      </c>
      <c r="P110" s="31">
        <v>0</v>
      </c>
      <c r="Q110" s="31">
        <v>0</v>
      </c>
      <c r="R110" s="31">
        <v>3.7828459052635861E-7</v>
      </c>
      <c r="S110" s="31">
        <v>0</v>
      </c>
      <c r="T110" s="26" t="s">
        <v>46</v>
      </c>
      <c r="U110" s="26" t="s">
        <v>46</v>
      </c>
    </row>
    <row r="111" spans="1:21" x14ac:dyDescent="0.2">
      <c r="A111" s="31">
        <v>1.1477319446347813</v>
      </c>
      <c r="B111" s="46" t="s">
        <v>1337</v>
      </c>
      <c r="C111" s="32">
        <v>9.3848437499999993E-2</v>
      </c>
      <c r="D111" s="32">
        <v>9.4202836009836491E-2</v>
      </c>
      <c r="E111" s="31">
        <v>2.2004040145517934E-8</v>
      </c>
      <c r="F111" s="31">
        <v>3.3860854967998008E-8</v>
      </c>
      <c r="G111" s="31">
        <v>4.8344337611070055E-6</v>
      </c>
      <c r="H111" s="31">
        <v>-3.1832829149475386E-6</v>
      </c>
      <c r="I111" s="31">
        <v>2.2840162135259651E-7</v>
      </c>
      <c r="J111" s="29" t="s">
        <v>1338</v>
      </c>
      <c r="K111" s="32">
        <v>0</v>
      </c>
      <c r="L111" s="32">
        <v>0</v>
      </c>
      <c r="M111" s="31">
        <v>-0.50000000052480864</v>
      </c>
      <c r="N111" s="31">
        <v>0</v>
      </c>
      <c r="O111" s="31">
        <v>0</v>
      </c>
      <c r="P111" s="31">
        <v>0</v>
      </c>
      <c r="Q111" s="31">
        <v>0</v>
      </c>
      <c r="R111" s="31">
        <v>1.3772656950204627E-8</v>
      </c>
      <c r="S111" s="31">
        <v>0</v>
      </c>
      <c r="T111" s="26" t="s">
        <v>46</v>
      </c>
      <c r="U111" s="27" t="s">
        <v>47</v>
      </c>
    </row>
    <row r="112" spans="1:21" x14ac:dyDescent="0.2">
      <c r="A112" s="31">
        <v>1.164862272166644</v>
      </c>
      <c r="B112" s="46" t="s">
        <v>1339</v>
      </c>
      <c r="C112" s="32">
        <v>9.3848437499999993E-2</v>
      </c>
      <c r="D112" s="32">
        <v>0.10409742740322264</v>
      </c>
      <c r="E112" s="31">
        <v>6.6201122361775333E-10</v>
      </c>
      <c r="F112" s="31">
        <v>1.1210738915426107E-9</v>
      </c>
      <c r="G112" s="31">
        <v>1.600596758437269E-7</v>
      </c>
      <c r="H112" s="31">
        <v>-1.0537080807370365E-7</v>
      </c>
      <c r="I112" s="31">
        <v>6.8743689711742688E-9</v>
      </c>
      <c r="J112" s="47" t="s">
        <v>1340</v>
      </c>
      <c r="K112" s="32">
        <v>0</v>
      </c>
      <c r="L112" s="32">
        <v>0</v>
      </c>
      <c r="M112" s="31">
        <v>-0.50000000052480864</v>
      </c>
      <c r="N112" s="31">
        <v>0</v>
      </c>
      <c r="O112" s="31">
        <v>0</v>
      </c>
      <c r="P112" s="31">
        <v>0</v>
      </c>
      <c r="Q112" s="31">
        <v>0</v>
      </c>
      <c r="R112" s="31">
        <v>3.7742900884101072E-10</v>
      </c>
      <c r="S112" s="31">
        <v>0</v>
      </c>
      <c r="T112" s="26" t="s">
        <v>46</v>
      </c>
      <c r="U112" s="26" t="s">
        <v>46</v>
      </c>
    </row>
    <row r="113" spans="1:21" x14ac:dyDescent="0.2">
      <c r="A113" s="31">
        <v>1.1819925996985063</v>
      </c>
      <c r="B113" s="46" t="s">
        <v>1341</v>
      </c>
      <c r="C113" s="32">
        <v>9.3848437499999993E-2</v>
      </c>
      <c r="D113" s="32">
        <v>0.1137940914144886</v>
      </c>
      <c r="E113" s="31">
        <v>1.5026757615999031E-11</v>
      </c>
      <c r="F113" s="31">
        <v>2.7730721964025212E-11</v>
      </c>
      <c r="G113" s="31">
        <v>3.9592130384616024E-9</v>
      </c>
      <c r="H113" s="31">
        <v>-2.605987777089874E-9</v>
      </c>
      <c r="I113" s="31">
        <v>1.560892970538073E-10</v>
      </c>
      <c r="J113" s="29" t="s">
        <v>1342</v>
      </c>
      <c r="K113" s="32">
        <v>0</v>
      </c>
      <c r="L113" s="32">
        <v>0</v>
      </c>
      <c r="M113" s="31">
        <v>-0.50000000052480864</v>
      </c>
      <c r="N113" s="31">
        <v>0</v>
      </c>
      <c r="O113" s="31">
        <v>0</v>
      </c>
      <c r="P113" s="31">
        <v>0</v>
      </c>
      <c r="Q113" s="31">
        <v>0</v>
      </c>
      <c r="R113" s="31">
        <v>7.8666684728754362E-12</v>
      </c>
      <c r="S113" s="31">
        <v>0</v>
      </c>
      <c r="T113" s="26" t="s">
        <v>46</v>
      </c>
      <c r="U113" s="27" t="s">
        <v>47</v>
      </c>
    </row>
    <row r="114" spans="1:21" x14ac:dyDescent="0.2">
      <c r="A114" s="31">
        <v>1.1991229272303687</v>
      </c>
      <c r="B114" s="46" t="s">
        <v>1343</v>
      </c>
      <c r="C114" s="32">
        <v>9.3848437499999993E-2</v>
      </c>
      <c r="D114" s="32">
        <v>0.12329768722326691</v>
      </c>
      <c r="E114" s="31">
        <v>2.6034729927459921E-13</v>
      </c>
      <c r="F114" s="31">
        <v>5.1932561742044264E-13</v>
      </c>
      <c r="G114" s="31">
        <v>7.4145951135550093E-11</v>
      </c>
      <c r="H114" s="31">
        <v>-4.8796495942348195E-11</v>
      </c>
      <c r="I114" s="31">
        <v>2.7057240741961596E-12</v>
      </c>
      <c r="J114" s="47" t="s">
        <v>1344</v>
      </c>
      <c r="K114" s="32">
        <v>0</v>
      </c>
      <c r="L114" s="32">
        <v>6.9543043274342048E-2</v>
      </c>
      <c r="M114" s="31">
        <v>-0.50000000052480864</v>
      </c>
      <c r="N114" s="31">
        <v>0</v>
      </c>
      <c r="O114" s="31">
        <v>0</v>
      </c>
      <c r="P114" s="31">
        <v>0</v>
      </c>
      <c r="Q114" s="31">
        <v>0</v>
      </c>
      <c r="R114" s="31">
        <v>1.2601640017331841E-13</v>
      </c>
      <c r="S114" s="31">
        <v>0</v>
      </c>
      <c r="T114" s="26" t="s">
        <v>46</v>
      </c>
      <c r="U114" s="26" t="s">
        <v>46</v>
      </c>
    </row>
    <row r="115" spans="1:21" x14ac:dyDescent="0.2">
      <c r="A115" s="31">
        <v>1.2162532547622311</v>
      </c>
      <c r="B115" s="46" t="s">
        <v>1345</v>
      </c>
      <c r="C115" s="32">
        <v>9.3848437499999993E-2</v>
      </c>
      <c r="D115" s="32">
        <v>0.13261319812431979</v>
      </c>
      <c r="E115" s="31">
        <v>3.4416913763379853E-15</v>
      </c>
      <c r="F115" s="31">
        <v>7.4563476172110235E-15</v>
      </c>
      <c r="G115" s="31">
        <v>1.0645690632815704E-12</v>
      </c>
      <c r="H115" s="31">
        <v>-7.0053525504220781E-13</v>
      </c>
      <c r="I115" s="31">
        <v>3.6591697003414729E-14</v>
      </c>
      <c r="J115" s="29" t="s">
        <v>1346</v>
      </c>
      <c r="K115" s="32">
        <v>0</v>
      </c>
      <c r="L115" s="32">
        <v>0</v>
      </c>
      <c r="M115" s="31">
        <v>-0.50000000052480864</v>
      </c>
      <c r="N115" s="31">
        <v>0</v>
      </c>
      <c r="O115" s="31">
        <v>0</v>
      </c>
      <c r="P115" s="31">
        <v>0</v>
      </c>
      <c r="Q115" s="31">
        <v>0</v>
      </c>
      <c r="R115" s="31">
        <v>1.5676087899574233E-15</v>
      </c>
      <c r="S115" s="31">
        <v>0</v>
      </c>
      <c r="T115" s="26" t="s">
        <v>46</v>
      </c>
      <c r="U115" s="27" t="s">
        <v>47</v>
      </c>
    </row>
    <row r="116" spans="1:21" x14ac:dyDescent="0.2">
      <c r="A116" s="31">
        <v>1.2333835822940935</v>
      </c>
      <c r="B116" s="46" t="s">
        <v>1347</v>
      </c>
      <c r="C116" s="32">
        <v>9.3848437499999993E-2</v>
      </c>
      <c r="D116" s="32">
        <v>0.14174524281029766</v>
      </c>
      <c r="E116" s="31">
        <v>0</v>
      </c>
      <c r="F116" s="31">
        <v>8.3059880934071176E-17</v>
      </c>
      <c r="G116" s="31">
        <v>1.1858752325087643E-14</v>
      </c>
      <c r="H116" s="31">
        <v>-7.7904776348627705E-15</v>
      </c>
      <c r="I116" s="31">
        <v>0</v>
      </c>
      <c r="J116" s="47" t="s">
        <v>1348</v>
      </c>
      <c r="K116" s="32">
        <v>1.0075051800012589</v>
      </c>
      <c r="L116" s="32">
        <v>1.0075050613918637</v>
      </c>
      <c r="M116" s="31">
        <v>-0.74013600480297925</v>
      </c>
      <c r="N116" s="31">
        <v>8.2520056168289783E-3</v>
      </c>
      <c r="O116" s="31">
        <v>12.648162911182734</v>
      </c>
      <c r="P116" s="31">
        <v>-88.862457028755742</v>
      </c>
      <c r="Q116" s="31">
        <v>-10.533246113636437</v>
      </c>
      <c r="R116" s="31">
        <v>1.5297560740684891E-17</v>
      </c>
      <c r="S116" s="31">
        <v>39.450001500190901</v>
      </c>
      <c r="T116" s="26" t="s">
        <v>46</v>
      </c>
      <c r="U116" s="26" t="s">
        <v>46</v>
      </c>
    </row>
    <row r="117" spans="1:21" x14ac:dyDescent="0.2">
      <c r="A117" s="31">
        <v>1.2505139098259559</v>
      </c>
      <c r="B117" s="46" t="s">
        <v>1349</v>
      </c>
      <c r="C117" s="32">
        <v>0.187596875</v>
      </c>
      <c r="D117" s="32">
        <v>0.15561007989702791</v>
      </c>
      <c r="E117" s="31">
        <v>4.7048090356938133E-6</v>
      </c>
      <c r="F117" s="31">
        <v>2.9793879402717719E-6</v>
      </c>
      <c r="G117" s="31">
        <v>8.5030220107939016E-4</v>
      </c>
      <c r="H117" s="31">
        <v>-1.1181613280577113E-3</v>
      </c>
      <c r="I117" s="31">
        <v>4.8542793816924686E-5</v>
      </c>
      <c r="J117" s="29" t="s">
        <v>1350</v>
      </c>
      <c r="K117" s="32">
        <v>0</v>
      </c>
      <c r="L117" s="32">
        <v>0</v>
      </c>
      <c r="M117" s="31">
        <v>-0.50000000052480864</v>
      </c>
      <c r="N117" s="31">
        <v>0</v>
      </c>
      <c r="O117" s="31">
        <v>0</v>
      </c>
      <c r="P117" s="31">
        <v>0</v>
      </c>
      <c r="Q117" s="31">
        <v>0</v>
      </c>
      <c r="R117" s="31">
        <v>7.0511876330048339E-6</v>
      </c>
      <c r="S117" s="31">
        <v>0</v>
      </c>
      <c r="T117" s="26" t="s">
        <v>46</v>
      </c>
      <c r="U117" s="27" t="s">
        <v>47</v>
      </c>
    </row>
    <row r="118" spans="1:21" x14ac:dyDescent="0.2">
      <c r="A118" s="31">
        <v>1.2676442373578183</v>
      </c>
      <c r="B118" s="46" t="s">
        <v>1351</v>
      </c>
      <c r="C118" s="32">
        <v>0.187596875</v>
      </c>
      <c r="D118" s="32">
        <v>0.16464886365487924</v>
      </c>
      <c r="E118" s="31">
        <v>1.290487306682131E-6</v>
      </c>
      <c r="F118" s="31">
        <v>8.6295329053638118E-7</v>
      </c>
      <c r="G118" s="31">
        <v>2.4628249059263315E-4</v>
      </c>
      <c r="H118" s="31">
        <v>-3.238417419418464E-4</v>
      </c>
      <c r="I118" s="31">
        <v>1.3321823760319552E-5</v>
      </c>
      <c r="J118" s="47" t="s">
        <v>1352</v>
      </c>
      <c r="K118" s="32">
        <v>1.0769496326208112</v>
      </c>
      <c r="L118" s="32">
        <v>1.0769494511414655</v>
      </c>
      <c r="M118" s="31">
        <v>-0.75158448329036698</v>
      </c>
      <c r="N118" s="31">
        <v>7.5395905714784753E-3</v>
      </c>
      <c r="O118" s="31">
        <v>12.352754300227826</v>
      </c>
      <c r="P118" s="31">
        <v>-92.768546103562272</v>
      </c>
      <c r="Q118" s="31">
        <v>-11.00973089553564</v>
      </c>
      <c r="R118" s="31">
        <v>1.8381881358966643E-6</v>
      </c>
      <c r="S118" s="31">
        <v>44.450002241769646</v>
      </c>
      <c r="T118" s="26" t="s">
        <v>46</v>
      </c>
      <c r="U118" s="26" t="s">
        <v>46</v>
      </c>
    </row>
    <row r="119" spans="1:21" x14ac:dyDescent="0.2">
      <c r="A119" s="31">
        <v>1.3019048924215431</v>
      </c>
      <c r="B119" s="46" t="s">
        <v>1353</v>
      </c>
      <c r="C119" s="32">
        <v>0.187596875</v>
      </c>
      <c r="D119" s="32">
        <v>0.18219603256012534</v>
      </c>
      <c r="E119" s="31">
        <v>8.3208257950495579E-8</v>
      </c>
      <c r="F119" s="31">
        <v>6.1433914700185027E-8</v>
      </c>
      <c r="G119" s="31">
        <v>1.7532927546765151E-5</v>
      </c>
      <c r="H119" s="31">
        <v>-2.3051540541426801E-5</v>
      </c>
      <c r="I119" s="48">
        <v>8.5973974549361085E-7</v>
      </c>
      <c r="J119" s="47" t="s">
        <v>1354</v>
      </c>
      <c r="K119" s="32">
        <v>1.1385807617902755</v>
      </c>
      <c r="L119" s="32">
        <v>1.138580753296089</v>
      </c>
      <c r="M119" s="31">
        <v>-0.76248429977170118</v>
      </c>
      <c r="N119" s="31">
        <v>6.9604444287630525E-3</v>
      </c>
      <c r="O119" s="31">
        <v>12.056505817534779</v>
      </c>
      <c r="P119" s="31">
        <v>-95.72158207313889</v>
      </c>
      <c r="Q119" s="31">
        <v>-11.476924679022998</v>
      </c>
      <c r="R119" s="31">
        <v>1.079145189245481E-7</v>
      </c>
      <c r="S119" s="31">
        <v>49.400000102410203</v>
      </c>
      <c r="T119" s="26" t="s">
        <v>46</v>
      </c>
      <c r="U119" s="26" t="s">
        <v>46</v>
      </c>
    </row>
    <row r="120" spans="1:21" x14ac:dyDescent="0.2">
      <c r="A120" s="31">
        <v>1.3361655474852678</v>
      </c>
      <c r="B120" s="46" t="s">
        <v>1355</v>
      </c>
      <c r="C120" s="32">
        <v>0.187596875</v>
      </c>
      <c r="D120" s="32">
        <v>0.19906424808803178</v>
      </c>
      <c r="E120" s="31">
        <v>4.4267586263302405E-9</v>
      </c>
      <c r="F120" s="31">
        <v>3.5687392636579918E-9</v>
      </c>
      <c r="G120" s="31">
        <v>1.0185000784725043E-6</v>
      </c>
      <c r="H120" s="31">
        <v>-1.3389459156069216E-6</v>
      </c>
      <c r="I120" s="48">
        <v>4.5773051119425123E-8</v>
      </c>
      <c r="J120" s="47" t="s">
        <v>1356</v>
      </c>
      <c r="K120" s="32">
        <v>1.2010315603733059</v>
      </c>
      <c r="L120" s="32">
        <v>1.2010323271037908</v>
      </c>
      <c r="M120" s="31">
        <v>-0.77090797746164086</v>
      </c>
      <c r="N120" s="31">
        <v>6.4676033077886016E-3</v>
      </c>
      <c r="O120" s="31">
        <v>11.817304940543377</v>
      </c>
      <c r="P120" s="31">
        <v>-98.966808889933901</v>
      </c>
      <c r="Q120" s="31">
        <v>-11.921877487640108</v>
      </c>
      <c r="R120" s="31">
        <v>5.2749104365319988E-9</v>
      </c>
      <c r="S120" s="31">
        <v>54.39999093930976</v>
      </c>
      <c r="T120" s="26" t="s">
        <v>46</v>
      </c>
      <c r="U120" s="26" t="s">
        <v>46</v>
      </c>
    </row>
    <row r="121" spans="1:21" x14ac:dyDescent="0.2">
      <c r="A121" s="31">
        <v>1.3704262025489928</v>
      </c>
      <c r="B121" s="46" t="s">
        <v>1357</v>
      </c>
      <c r="C121" s="32">
        <v>0.187596875</v>
      </c>
      <c r="D121" s="32">
        <v>0.21528692291300283</v>
      </c>
      <c r="E121" s="31">
        <v>1.9728463307444599E-10</v>
      </c>
      <c r="F121" s="31">
        <v>1.7208089285494755E-10</v>
      </c>
      <c r="G121" s="31">
        <v>4.9111013702002712E-8</v>
      </c>
      <c r="H121" s="31">
        <v>-6.4557236086166329E-8</v>
      </c>
      <c r="I121" s="48">
        <v>2.041217270841797E-9</v>
      </c>
      <c r="J121" s="47" t="s">
        <v>1358</v>
      </c>
      <c r="K121" s="32">
        <v>1.2605999263763425</v>
      </c>
      <c r="L121" s="32">
        <v>1.2606002603953816</v>
      </c>
      <c r="M121" s="31">
        <v>-0.77827742118032128</v>
      </c>
      <c r="N121" s="31">
        <v>6.0489614052975198E-3</v>
      </c>
      <c r="O121" s="31">
        <v>11.600554242896031</v>
      </c>
      <c r="P121" s="31">
        <v>-101.9677466676534</v>
      </c>
      <c r="Q121" s="31">
        <v>-12.355841738606374</v>
      </c>
      <c r="R121" s="31">
        <v>2.176420560791835E-10</v>
      </c>
      <c r="S121" s="31">
        <v>59.399996125193574</v>
      </c>
      <c r="T121" s="26" t="s">
        <v>46</v>
      </c>
      <c r="U121" s="26" t="s">
        <v>46</v>
      </c>
    </row>
    <row r="122" spans="1:21" x14ac:dyDescent="0.2">
      <c r="A122" s="31">
        <v>1.4046868576127176</v>
      </c>
      <c r="B122" s="46" t="s">
        <v>1359</v>
      </c>
      <c r="C122" s="32">
        <v>0.187596875</v>
      </c>
      <c r="D122" s="32">
        <v>0.23089542505158767</v>
      </c>
      <c r="E122" s="31">
        <v>7.4691364204682031E-12</v>
      </c>
      <c r="F122" s="31">
        <v>6.9950840726226636E-12</v>
      </c>
      <c r="G122" s="31">
        <v>1.9963615020687373E-9</v>
      </c>
      <c r="H122" s="31">
        <v>-2.6240679925793629E-9</v>
      </c>
      <c r="I122" s="48">
        <v>7.7321070514138667E-11</v>
      </c>
      <c r="J122" s="29" t="s">
        <v>1360</v>
      </c>
      <c r="K122" s="32">
        <v>0</v>
      </c>
      <c r="L122" s="32">
        <v>0</v>
      </c>
      <c r="M122" s="31">
        <v>-0.50000000052480864</v>
      </c>
      <c r="N122" s="31">
        <v>0</v>
      </c>
      <c r="O122" s="31">
        <v>0</v>
      </c>
      <c r="P122" s="31">
        <v>0</v>
      </c>
      <c r="Q122" s="31">
        <v>0</v>
      </c>
      <c r="R122" s="31">
        <v>7.6779388081496213E-12</v>
      </c>
      <c r="S122" s="31">
        <v>0</v>
      </c>
      <c r="T122" s="26" t="s">
        <v>46</v>
      </c>
      <c r="U122" s="27" t="s">
        <v>47</v>
      </c>
    </row>
    <row r="123" spans="1:21" x14ac:dyDescent="0.2">
      <c r="A123" s="31">
        <v>0.78799506646567086</v>
      </c>
      <c r="B123" s="28" t="s">
        <v>1361</v>
      </c>
      <c r="C123" s="32">
        <v>0</v>
      </c>
      <c r="D123" s="32">
        <v>0</v>
      </c>
      <c r="E123" s="31">
        <v>0.50000000052480864</v>
      </c>
      <c r="F123" s="31">
        <v>0</v>
      </c>
      <c r="G123" s="31">
        <v>0</v>
      </c>
      <c r="H123" s="31">
        <v>0</v>
      </c>
      <c r="I123" s="48">
        <v>0</v>
      </c>
      <c r="J123" s="47" t="s">
        <v>1362</v>
      </c>
      <c r="K123" s="32">
        <v>9.3848437499999993E-2</v>
      </c>
      <c r="L123" s="32">
        <v>0.14727158229691303</v>
      </c>
      <c r="M123" s="31">
        <v>0</v>
      </c>
      <c r="N123" s="31">
        <v>3.7165721178958831E-17</v>
      </c>
      <c r="O123" s="31">
        <v>6.7802481656915817E-15</v>
      </c>
      <c r="P123" s="31">
        <v>-3.4859033792505177E-15</v>
      </c>
      <c r="Q123" s="31">
        <v>0</v>
      </c>
      <c r="R123" s="31">
        <v>0</v>
      </c>
      <c r="S123" s="31">
        <v>0</v>
      </c>
      <c r="T123" s="27" t="s">
        <v>47</v>
      </c>
      <c r="U123" s="26" t="s">
        <v>46</v>
      </c>
    </row>
    <row r="124" spans="1:21" x14ac:dyDescent="0.2">
      <c r="A124" s="31">
        <v>0.82225572152939563</v>
      </c>
      <c r="B124" s="28" t="s">
        <v>1363</v>
      </c>
      <c r="C124" s="32">
        <v>0</v>
      </c>
      <c r="D124" s="32">
        <v>0</v>
      </c>
      <c r="E124" s="31">
        <v>0.50000000052480864</v>
      </c>
      <c r="F124" s="31">
        <v>0</v>
      </c>
      <c r="G124" s="31">
        <v>0</v>
      </c>
      <c r="H124" s="31">
        <v>0</v>
      </c>
      <c r="I124" s="48">
        <v>0</v>
      </c>
      <c r="J124" s="47" t="s">
        <v>1364</v>
      </c>
      <c r="K124" s="32">
        <v>0.2709084747314453</v>
      </c>
      <c r="L124" s="32">
        <v>0.27090769702675666</v>
      </c>
      <c r="M124" s="31">
        <v>-7.4526599742759103E-3</v>
      </c>
      <c r="N124" s="31">
        <v>1.7241780446318332E-3</v>
      </c>
      <c r="O124" s="31">
        <v>0.90798919557613922</v>
      </c>
      <c r="P124" s="31">
        <v>-1.3449828188135267</v>
      </c>
      <c r="Q124" s="31">
        <v>-0.10200679969899694</v>
      </c>
      <c r="R124" s="31">
        <v>0</v>
      </c>
      <c r="S124" s="31">
        <v>3.0000706141661837E-2</v>
      </c>
      <c r="T124" s="27" t="s">
        <v>47</v>
      </c>
      <c r="U124" s="26" t="s">
        <v>46</v>
      </c>
    </row>
    <row r="125" spans="1:21" x14ac:dyDescent="0.2">
      <c r="A125" s="31">
        <v>0.85651637659312052</v>
      </c>
      <c r="B125" s="46" t="s">
        <v>1365</v>
      </c>
      <c r="C125" s="32">
        <v>0.39505763540267941</v>
      </c>
      <c r="D125" s="32">
        <v>0.39505699327226246</v>
      </c>
      <c r="E125" s="31">
        <v>0.91294887942670788</v>
      </c>
      <c r="F125" s="31">
        <v>9.0946014415523562E-3</v>
      </c>
      <c r="G125" s="31">
        <v>6.9842553715578939</v>
      </c>
      <c r="H125" s="31">
        <v>-15.372058756243032</v>
      </c>
      <c r="I125" s="48">
        <v>10.179850697788215</v>
      </c>
      <c r="J125" s="47" t="s">
        <v>1366</v>
      </c>
      <c r="K125" s="32">
        <v>0.228623260307312</v>
      </c>
      <c r="L125" s="32">
        <v>0.22862224798976705</v>
      </c>
      <c r="M125" s="31">
        <v>-1.1304072542043353E-2</v>
      </c>
      <c r="N125" s="31">
        <v>2.9419966642910628E-3</v>
      </c>
      <c r="O125" s="31">
        <v>1.3074905805901653</v>
      </c>
      <c r="P125" s="31">
        <v>-1.6336905072380812</v>
      </c>
      <c r="Q125" s="31">
        <v>-0.15422017310687236</v>
      </c>
      <c r="R125" s="31">
        <v>21.700004484796679</v>
      </c>
      <c r="S125" s="31">
        <v>4.0001323580893144E-2</v>
      </c>
      <c r="T125" s="26" t="s">
        <v>46</v>
      </c>
      <c r="U125" s="26" t="s">
        <v>46</v>
      </c>
    </row>
    <row r="126" spans="1:21" x14ac:dyDescent="0.2">
      <c r="A126" s="31">
        <v>0.8907770316568453</v>
      </c>
      <c r="B126" s="28" t="s">
        <v>1367</v>
      </c>
      <c r="C126" s="32">
        <v>0</v>
      </c>
      <c r="D126" s="32">
        <v>0</v>
      </c>
      <c r="E126" s="31">
        <v>0.50000000052480864</v>
      </c>
      <c r="F126" s="31">
        <v>0</v>
      </c>
      <c r="G126" s="31">
        <v>0</v>
      </c>
      <c r="H126" s="31">
        <v>0</v>
      </c>
      <c r="I126" s="48">
        <v>0</v>
      </c>
      <c r="J126" s="47" t="s">
        <v>1368</v>
      </c>
      <c r="K126" s="32">
        <v>0.25351374511718755</v>
      </c>
      <c r="L126" s="32">
        <v>0.25351414715571935</v>
      </c>
      <c r="M126" s="31">
        <v>-6.0427751022462561E-2</v>
      </c>
      <c r="N126" s="31">
        <v>1.0716945960686081E-2</v>
      </c>
      <c r="O126" s="31">
        <v>5.2813935529919389</v>
      </c>
      <c r="P126" s="31">
        <v>-7.3139022747128646</v>
      </c>
      <c r="Q126" s="31">
        <v>-0.832273848784299</v>
      </c>
      <c r="R126" s="31">
        <v>0</v>
      </c>
      <c r="S126" s="31">
        <v>0.29999787667244648</v>
      </c>
      <c r="T126" s="27" t="s">
        <v>47</v>
      </c>
      <c r="U126" s="26" t="s">
        <v>46</v>
      </c>
    </row>
    <row r="127" spans="1:21" x14ac:dyDescent="0.2">
      <c r="A127" s="31">
        <v>0.92503768672057007</v>
      </c>
      <c r="B127" s="46" t="s">
        <v>1369</v>
      </c>
      <c r="C127" s="32">
        <v>0.27915809690952303</v>
      </c>
      <c r="D127" s="32">
        <v>0.27915854761929804</v>
      </c>
      <c r="E127" s="31">
        <v>0.8336246479031818</v>
      </c>
      <c r="F127" s="31">
        <v>2.0276936407367548E-2</v>
      </c>
      <c r="G127" s="31">
        <v>11.003441710537427</v>
      </c>
      <c r="H127" s="31">
        <v>-17.079559214881968</v>
      </c>
      <c r="I127" s="48">
        <v>9.9994499203844587</v>
      </c>
      <c r="J127" s="47" t="s">
        <v>1370</v>
      </c>
      <c r="K127" s="32">
        <v>0.23141414167881014</v>
      </c>
      <c r="L127" s="32">
        <v>0.2314140610146708</v>
      </c>
      <c r="M127" s="31">
        <v>-0.12455592675225335</v>
      </c>
      <c r="N127" s="31">
        <v>2.0125664090759492E-2</v>
      </c>
      <c r="O127" s="31">
        <v>9.0534914115397847</v>
      </c>
      <c r="P127" s="31">
        <v>-11.434233225570312</v>
      </c>
      <c r="Q127" s="31">
        <v>-1.7184002429704208</v>
      </c>
      <c r="R127" s="31">
        <v>12.09999504063785</v>
      </c>
      <c r="S127" s="31">
        <v>0.65000073029193195</v>
      </c>
      <c r="T127" s="26" t="s">
        <v>46</v>
      </c>
      <c r="U127" s="26" t="s">
        <v>46</v>
      </c>
    </row>
    <row r="128" spans="1:21" x14ac:dyDescent="0.2">
      <c r="A128" s="31">
        <v>0.93188981773331503</v>
      </c>
      <c r="B128" s="28" t="s">
        <v>1371</v>
      </c>
      <c r="C128" s="32">
        <v>0</v>
      </c>
      <c r="D128" s="32">
        <v>0</v>
      </c>
      <c r="E128" s="31">
        <v>0.50000000052480864</v>
      </c>
      <c r="F128" s="31">
        <v>0</v>
      </c>
      <c r="G128" s="31">
        <v>0</v>
      </c>
      <c r="H128" s="31">
        <v>0</v>
      </c>
      <c r="I128" s="48">
        <v>0</v>
      </c>
      <c r="J128" s="47" t="s">
        <v>1372</v>
      </c>
      <c r="K128" s="32">
        <v>0.1980537395954132</v>
      </c>
      <c r="L128" s="32">
        <v>0.19805447187769307</v>
      </c>
      <c r="M128" s="31">
        <v>-0.11268566472831931</v>
      </c>
      <c r="N128" s="31">
        <v>2.1908754663321327E-2</v>
      </c>
      <c r="O128" s="31">
        <v>8.4348374621077493</v>
      </c>
      <c r="P128" s="31">
        <v>-9.1127634570114378</v>
      </c>
      <c r="Q128" s="31">
        <v>-1.5456855973557113</v>
      </c>
      <c r="R128" s="31">
        <v>0</v>
      </c>
      <c r="S128" s="31">
        <v>0.4899938233020027</v>
      </c>
      <c r="T128" s="27" t="s">
        <v>47</v>
      </c>
      <c r="U128" s="26" t="s">
        <v>46</v>
      </c>
    </row>
    <row r="129" spans="1:21" x14ac:dyDescent="0.2">
      <c r="A129" s="31">
        <v>0.93874194874605998</v>
      </c>
      <c r="B129" s="28" t="s">
        <v>1373</v>
      </c>
      <c r="C129" s="32">
        <v>0</v>
      </c>
      <c r="D129" s="32">
        <v>0</v>
      </c>
      <c r="E129" s="31">
        <v>0.50000000052480864</v>
      </c>
      <c r="F129" s="31">
        <v>0</v>
      </c>
      <c r="G129" s="31">
        <v>0</v>
      </c>
      <c r="H129" s="31">
        <v>0</v>
      </c>
      <c r="I129" s="48">
        <v>0</v>
      </c>
      <c r="J129" s="47" t="s">
        <v>1374</v>
      </c>
      <c r="K129" s="32">
        <v>0.19931542968749999</v>
      </c>
      <c r="L129" s="32">
        <v>0.19931594458942017</v>
      </c>
      <c r="M129" s="31">
        <v>-0.13931334660416728</v>
      </c>
      <c r="N129" s="31">
        <v>2.5243456528551665E-2</v>
      </c>
      <c r="O129" s="31">
        <v>9.78060502381107</v>
      </c>
      <c r="P129" s="31">
        <v>-10.631227218363593</v>
      </c>
      <c r="Q129" s="31">
        <v>-1.9140546689787004</v>
      </c>
      <c r="R129" s="31">
        <v>0</v>
      </c>
      <c r="S129" s="31">
        <v>0.63999496394050248</v>
      </c>
      <c r="T129" s="27" t="s">
        <v>47</v>
      </c>
      <c r="U129" s="26" t="s">
        <v>46</v>
      </c>
    </row>
    <row r="130" spans="1:21" x14ac:dyDescent="0.2">
      <c r="A130" s="31">
        <v>0.94559407975880505</v>
      </c>
      <c r="B130" s="46" t="s">
        <v>1375</v>
      </c>
      <c r="C130" s="32">
        <v>0.23507905099391935</v>
      </c>
      <c r="D130" s="32">
        <v>0.23507927438083265</v>
      </c>
      <c r="E130" s="31">
        <v>0.79564431940740832</v>
      </c>
      <c r="F130" s="31">
        <v>2.7361834995236697E-2</v>
      </c>
      <c r="G130" s="31">
        <v>12.503601601907908</v>
      </c>
      <c r="H130" s="31">
        <v>-16.348350382968725</v>
      </c>
      <c r="I130" s="48">
        <v>9.758237037401571</v>
      </c>
      <c r="J130" s="47" t="s">
        <v>1376</v>
      </c>
      <c r="K130" s="32">
        <v>0.21693617634773252</v>
      </c>
      <c r="L130" s="32">
        <v>0.21693655799317493</v>
      </c>
      <c r="M130" s="31">
        <v>-0.18685457773349456</v>
      </c>
      <c r="N130" s="31">
        <v>2.8081018479211291E-2</v>
      </c>
      <c r="O130" s="31">
        <v>11.841884354101374</v>
      </c>
      <c r="P130" s="31">
        <v>-14.008242782084436</v>
      </c>
      <c r="Q130" s="31">
        <v>-2.5810700326735239</v>
      </c>
      <c r="R130" s="31">
        <v>9.1999972068581997</v>
      </c>
      <c r="S130" s="31">
        <v>1.0099954805958888</v>
      </c>
      <c r="T130" s="26" t="s">
        <v>46</v>
      </c>
      <c r="U130" s="26" t="s">
        <v>46</v>
      </c>
    </row>
    <row r="131" spans="1:21" x14ac:dyDescent="0.2">
      <c r="A131" s="31">
        <v>0.95244621077155001</v>
      </c>
      <c r="B131" s="28" t="s">
        <v>1377</v>
      </c>
      <c r="C131" s="32">
        <v>0</v>
      </c>
      <c r="D131" s="32">
        <v>0</v>
      </c>
      <c r="E131" s="31">
        <v>0.50000000052480864</v>
      </c>
      <c r="F131" s="31">
        <v>0</v>
      </c>
      <c r="G131" s="31">
        <v>0</v>
      </c>
      <c r="H131" s="31">
        <v>0</v>
      </c>
      <c r="I131" s="48">
        <v>0</v>
      </c>
      <c r="J131" s="47" t="s">
        <v>1378</v>
      </c>
      <c r="K131" s="32">
        <v>0.21839241275787347</v>
      </c>
      <c r="L131" s="32">
        <v>0.21839291992211363</v>
      </c>
      <c r="M131" s="31">
        <v>-0.21928197948197525</v>
      </c>
      <c r="N131" s="31">
        <v>3.0692923622063363E-2</v>
      </c>
      <c r="O131" s="31">
        <v>13.03022107215279</v>
      </c>
      <c r="P131" s="31">
        <v>-15.513015116378419</v>
      </c>
      <c r="Q131" s="31">
        <v>-3.0349052475913716</v>
      </c>
      <c r="R131" s="31">
        <v>0</v>
      </c>
      <c r="S131" s="31">
        <v>1.2499933915336399</v>
      </c>
      <c r="T131" s="27" t="s">
        <v>47</v>
      </c>
      <c r="U131" s="26" t="s">
        <v>46</v>
      </c>
    </row>
    <row r="132" spans="1:21" x14ac:dyDescent="0.2">
      <c r="A132" s="31">
        <v>0.95929834178429496</v>
      </c>
      <c r="B132" s="46" t="s">
        <v>1379</v>
      </c>
      <c r="C132" s="32">
        <v>0.10919184784889219</v>
      </c>
      <c r="D132" s="32">
        <v>0.10919159951623761</v>
      </c>
      <c r="E132" s="31">
        <v>0.90016772681625701</v>
      </c>
      <c r="F132" s="31">
        <v>3.6409283350491685E-2</v>
      </c>
      <c r="G132" s="31">
        <v>7.728199513040245</v>
      </c>
      <c r="H132" s="31">
        <v>-4.9107575115883355</v>
      </c>
      <c r="I132" s="48">
        <v>11.424289526287572</v>
      </c>
      <c r="J132" s="47" t="s">
        <v>1380</v>
      </c>
      <c r="K132" s="32">
        <v>0.21293367195129392</v>
      </c>
      <c r="L132" s="32">
        <v>0.21293426838388835</v>
      </c>
      <c r="M132" s="31">
        <v>-0.24781751198734825</v>
      </c>
      <c r="N132" s="31">
        <v>3.3690915195447632E-2</v>
      </c>
      <c r="O132" s="31">
        <v>13.945469204419819</v>
      </c>
      <c r="P132" s="31">
        <v>-16.181004420832711</v>
      </c>
      <c r="Q132" s="31">
        <v>-3.4314249193042317</v>
      </c>
      <c r="R132" s="31">
        <v>6.2000019191607834</v>
      </c>
      <c r="S132" s="31">
        <v>1.429991682462723</v>
      </c>
      <c r="T132" s="26" t="s">
        <v>46</v>
      </c>
      <c r="U132" s="26" t="s">
        <v>46</v>
      </c>
    </row>
    <row r="133" spans="1:21" x14ac:dyDescent="0.2">
      <c r="A133" s="31">
        <v>0.96615047279703992</v>
      </c>
      <c r="B133" s="28" t="s">
        <v>1381</v>
      </c>
      <c r="C133" s="32">
        <v>0</v>
      </c>
      <c r="D133" s="32">
        <v>0</v>
      </c>
      <c r="E133" s="31">
        <v>0.50000000052480864</v>
      </c>
      <c r="F133" s="31">
        <v>0</v>
      </c>
      <c r="G133" s="31">
        <v>0</v>
      </c>
      <c r="H133" s="31">
        <v>0</v>
      </c>
      <c r="I133" s="48">
        <v>0</v>
      </c>
      <c r="J133" s="47" t="s">
        <v>1382</v>
      </c>
      <c r="K133" s="32">
        <v>0.20842334444522853</v>
      </c>
      <c r="L133" s="32">
        <v>0.20842307741828844</v>
      </c>
      <c r="M133" s="31">
        <v>-0.28038245958215302</v>
      </c>
      <c r="N133" s="31">
        <v>3.6656173889738707E-2</v>
      </c>
      <c r="O133" s="31">
        <v>14.851471002540034</v>
      </c>
      <c r="P133" s="31">
        <v>-16.859462995371736</v>
      </c>
      <c r="Q133" s="31">
        <v>-3.885268112183212</v>
      </c>
      <c r="R133" s="31">
        <v>0</v>
      </c>
      <c r="S133" s="31">
        <v>1.6500039657420882</v>
      </c>
      <c r="T133" s="27" t="s">
        <v>47</v>
      </c>
      <c r="U133" s="26" t="s">
        <v>46</v>
      </c>
    </row>
    <row r="134" spans="1:21" x14ac:dyDescent="0.2">
      <c r="A134" s="31">
        <v>0.97300260380978487</v>
      </c>
      <c r="B134" s="46" t="s">
        <v>1383</v>
      </c>
      <c r="C134" s="32">
        <v>0.2057755118370056</v>
      </c>
      <c r="D134" s="32">
        <v>0.20577498409997702</v>
      </c>
      <c r="E134" s="31">
        <v>0.68250122523866474</v>
      </c>
      <c r="F134" s="31">
        <v>3.9286691581005236E-2</v>
      </c>
      <c r="G134" s="31">
        <v>15.715026841339844</v>
      </c>
      <c r="H134" s="31">
        <v>-17.930942704166426</v>
      </c>
      <c r="I134" s="48">
        <v>8.5523689232148463</v>
      </c>
      <c r="J134" s="47" t="s">
        <v>1384</v>
      </c>
      <c r="K134" s="32">
        <v>0.20512607045173645</v>
      </c>
      <c r="L134" s="32">
        <v>0.20512607896290719</v>
      </c>
      <c r="M134" s="31">
        <v>-0.31703326444624791</v>
      </c>
      <c r="N134" s="31">
        <v>3.9386608048026447E-2</v>
      </c>
      <c r="O134" s="31">
        <v>15.705270494816478</v>
      </c>
      <c r="P134" s="31">
        <v>-17.537716369047882</v>
      </c>
      <c r="Q134" s="31">
        <v>-4.3980964144149111</v>
      </c>
      <c r="R134" s="31">
        <v>5.9000082933994946</v>
      </c>
      <c r="S134" s="31">
        <v>1.9199998663297673</v>
      </c>
      <c r="T134" s="26" t="s">
        <v>46</v>
      </c>
      <c r="U134" s="26" t="s">
        <v>46</v>
      </c>
    </row>
    <row r="135" spans="1:21" x14ac:dyDescent="0.2">
      <c r="A135" s="31">
        <v>0.97985473482252983</v>
      </c>
      <c r="B135" s="46" t="s">
        <v>1385</v>
      </c>
      <c r="C135" s="32">
        <v>0.23524927902221679</v>
      </c>
      <c r="D135" s="32">
        <v>0.23524908070740502</v>
      </c>
      <c r="E135" s="31">
        <v>0.62734740498247388</v>
      </c>
      <c r="F135" s="31">
        <v>3.64863747713879E-2</v>
      </c>
      <c r="G135" s="31">
        <v>16.685337467848779</v>
      </c>
      <c r="H135" s="31">
        <v>-21.700695803138338</v>
      </c>
      <c r="I135" s="48">
        <v>7.8314159220189143</v>
      </c>
      <c r="J135" s="47" t="s">
        <v>1386</v>
      </c>
      <c r="K135" s="32">
        <v>0.209347439455986</v>
      </c>
      <c r="L135" s="32">
        <v>0.20934696268625641</v>
      </c>
      <c r="M135" s="31">
        <v>-0.36065160839410138</v>
      </c>
      <c r="N135" s="31">
        <v>4.0557666913187927E-2</v>
      </c>
      <c r="O135" s="31">
        <v>16.505040586728256</v>
      </c>
      <c r="P135" s="31">
        <v>-18.802506901742788</v>
      </c>
      <c r="Q135" s="31">
        <v>-5.018335685732171</v>
      </c>
      <c r="R135" s="31">
        <v>5.7500033089494309</v>
      </c>
      <c r="S135" s="31">
        <v>2.3500078691027806</v>
      </c>
      <c r="T135" s="26" t="s">
        <v>46</v>
      </c>
      <c r="U135" s="26" t="s">
        <v>46</v>
      </c>
    </row>
    <row r="136" spans="1:21" x14ac:dyDescent="0.2">
      <c r="A136" s="31">
        <v>0.98670686583527478</v>
      </c>
      <c r="B136" s="46" t="s">
        <v>1387</v>
      </c>
      <c r="C136" s="32">
        <v>0.13056047210693356</v>
      </c>
      <c r="D136" s="32">
        <v>0.13056012710635875</v>
      </c>
      <c r="E136" s="31">
        <v>0.64219079600668627</v>
      </c>
      <c r="F136" s="31">
        <v>6.48542514311507E-2</v>
      </c>
      <c r="G136" s="31">
        <v>16.459860183396536</v>
      </c>
      <c r="H136" s="31">
        <v>-11.980560625769492</v>
      </c>
      <c r="I136" s="48">
        <v>8.2436123732637352</v>
      </c>
      <c r="J136" s="47" t="s">
        <v>1388</v>
      </c>
      <c r="K136" s="32">
        <v>0.20549012955427168</v>
      </c>
      <c r="L136" s="32">
        <v>0.20549019727445744</v>
      </c>
      <c r="M136" s="31">
        <v>-0.40129942751468717</v>
      </c>
      <c r="N136" s="31">
        <v>4.2678682949279803E-2</v>
      </c>
      <c r="O136" s="31">
        <v>17.048177316714398</v>
      </c>
      <c r="P136" s="31">
        <v>-19.05073173647725</v>
      </c>
      <c r="Q136" s="31">
        <v>-5.5907917718750131</v>
      </c>
      <c r="R136" s="31">
        <v>3.4000056786603068</v>
      </c>
      <c r="S136" s="31">
        <v>2.6899988454942481</v>
      </c>
      <c r="T136" s="26" t="s">
        <v>46</v>
      </c>
      <c r="U136" s="26" t="s">
        <v>46</v>
      </c>
    </row>
    <row r="137" spans="1:21" x14ac:dyDescent="0.2">
      <c r="A137" s="31">
        <v>0.99355899684801974</v>
      </c>
      <c r="B137" s="46" t="s">
        <v>1389</v>
      </c>
      <c r="C137" s="32">
        <v>0.13538693737983704</v>
      </c>
      <c r="D137" s="32">
        <v>0.13538738676746206</v>
      </c>
      <c r="E137" s="31">
        <v>0.57282381196746945</v>
      </c>
      <c r="F137" s="31">
        <v>6.5717049222324034E-2</v>
      </c>
      <c r="G137" s="31">
        <v>17.295407461003208</v>
      </c>
      <c r="H137" s="31">
        <v>-13.013371829298626</v>
      </c>
      <c r="I137" s="48">
        <v>7.3661990455241622</v>
      </c>
      <c r="J137" s="47" t="s">
        <v>1390</v>
      </c>
      <c r="K137" s="32">
        <v>0.2062146715402603</v>
      </c>
      <c r="L137" s="32">
        <v>0.20621431630860734</v>
      </c>
      <c r="M137" s="31">
        <v>-0.44502469301848124</v>
      </c>
      <c r="N137" s="31">
        <v>4.3461295589489031E-2</v>
      </c>
      <c r="O137" s="31">
        <v>17.422007983386685</v>
      </c>
      <c r="P137" s="31">
        <v>-19.52498061546607</v>
      </c>
      <c r="Q137" s="31">
        <v>-6.2151936359229829</v>
      </c>
      <c r="R137" s="31">
        <v>2.8899922276575865</v>
      </c>
      <c r="S137" s="31">
        <v>3.1500061888486446</v>
      </c>
      <c r="T137" s="26" t="s">
        <v>46</v>
      </c>
      <c r="U137" s="26" t="s">
        <v>46</v>
      </c>
    </row>
    <row r="138" spans="1:21" x14ac:dyDescent="0.2">
      <c r="A138" s="31">
        <v>1.0004111278607648</v>
      </c>
      <c r="B138" s="46" t="s">
        <v>1391</v>
      </c>
      <c r="C138" s="32">
        <v>0.13613794338703156</v>
      </c>
      <c r="D138" s="32">
        <v>0.13613841883920352</v>
      </c>
      <c r="E138" s="31">
        <v>0.50625285560187339</v>
      </c>
      <c r="F138" s="31">
        <v>6.6456817880204605E-2</v>
      </c>
      <c r="G138" s="31">
        <v>17.587119191567798</v>
      </c>
      <c r="H138" s="31">
        <v>-13.28091470031486</v>
      </c>
      <c r="I138" s="48">
        <v>6.5260253020530126</v>
      </c>
      <c r="J138" s="47" t="s">
        <v>1392</v>
      </c>
      <c r="K138" s="32">
        <v>0.19815888043642041</v>
      </c>
      <c r="L138" s="32">
        <v>0.19815893067166374</v>
      </c>
      <c r="M138" s="31">
        <v>-0.48940001774757713</v>
      </c>
      <c r="N138" s="31">
        <v>4.564626013380093E-2</v>
      </c>
      <c r="O138" s="31">
        <v>17.583070600111125</v>
      </c>
      <c r="P138" s="31">
        <v>-18.915261311207207</v>
      </c>
      <c r="Q138" s="31">
        <v>-6.8382151847080461</v>
      </c>
      <c r="R138" s="31">
        <v>2.3799916381659898</v>
      </c>
      <c r="S138" s="31">
        <v>3.4999991167101574</v>
      </c>
      <c r="T138" s="26" t="s">
        <v>46</v>
      </c>
      <c r="U138" s="26" t="s">
        <v>46</v>
      </c>
    </row>
    <row r="139" spans="1:21" x14ac:dyDescent="0.2">
      <c r="A139" s="31">
        <v>1.0072632588735098</v>
      </c>
      <c r="B139" s="46" t="s">
        <v>1393</v>
      </c>
      <c r="C139" s="32">
        <v>0.13710066156387329</v>
      </c>
      <c r="D139" s="32">
        <v>0.13710086567469273</v>
      </c>
      <c r="E139" s="31">
        <v>0.44079751515838339</v>
      </c>
      <c r="F139" s="31">
        <v>6.5270214150847022E-2</v>
      </c>
      <c r="G139" s="31">
        <v>17.395245691040735</v>
      </c>
      <c r="H139" s="31">
        <v>-13.208599657690243</v>
      </c>
      <c r="I139" s="48">
        <v>5.6943252175510732</v>
      </c>
      <c r="J139" s="47" t="s">
        <v>1394</v>
      </c>
      <c r="K139" s="32">
        <v>0.13254884991645813</v>
      </c>
      <c r="L139" s="32">
        <v>0.1325488478909885</v>
      </c>
      <c r="M139" s="31">
        <v>-0.56177114140852868</v>
      </c>
      <c r="N139" s="31">
        <v>6.7444735904649084E-2</v>
      </c>
      <c r="O139" s="31">
        <v>17.378008341561166</v>
      </c>
      <c r="P139" s="31">
        <v>-12.423605719252878</v>
      </c>
      <c r="Q139" s="31">
        <v>-7.7465164178139405</v>
      </c>
      <c r="R139" s="31">
        <v>1.939996449442063</v>
      </c>
      <c r="S139" s="31">
        <v>2.8900000351986241</v>
      </c>
      <c r="T139" s="26" t="s">
        <v>46</v>
      </c>
      <c r="U139" s="26" t="s">
        <v>46</v>
      </c>
    </row>
    <row r="140" spans="1:21" x14ac:dyDescent="0.2">
      <c r="A140" s="31">
        <v>1.0141153898862547</v>
      </c>
      <c r="B140" s="46" t="s">
        <v>1395</v>
      </c>
      <c r="C140" s="32">
        <v>0.13786025049686434</v>
      </c>
      <c r="D140" s="32">
        <v>0.13786059140807677</v>
      </c>
      <c r="E140" s="31">
        <v>0.37802195262211213</v>
      </c>
      <c r="F140" s="31">
        <v>6.254224850948778E-2</v>
      </c>
      <c r="G140" s="31">
        <v>16.760560314493802</v>
      </c>
      <c r="H140" s="31">
        <v>-12.781451593591104</v>
      </c>
      <c r="I140" s="48">
        <v>4.8928419275043646</v>
      </c>
      <c r="J140" s="47" t="s">
        <v>1396</v>
      </c>
      <c r="K140" s="32">
        <v>0.20299750485420229</v>
      </c>
      <c r="L140" s="32">
        <v>0.20299794583398398</v>
      </c>
      <c r="M140" s="31">
        <v>-0.57709551552520733</v>
      </c>
      <c r="N140" s="31">
        <v>4.3739044280199389E-2</v>
      </c>
      <c r="O140" s="31">
        <v>17.259808312753361</v>
      </c>
      <c r="P140" s="31">
        <v>-18.989652766309671</v>
      </c>
      <c r="Q140" s="31">
        <v>-8.1158335325609539</v>
      </c>
      <c r="R140" s="31">
        <v>1.5599942861362806</v>
      </c>
      <c r="S140" s="31">
        <v>4.6999923887730946</v>
      </c>
      <c r="T140" s="26" t="s">
        <v>46</v>
      </c>
      <c r="U140" s="26" t="s">
        <v>46</v>
      </c>
    </row>
    <row r="141" spans="1:21" x14ac:dyDescent="0.2">
      <c r="A141" s="31">
        <v>1.0209675208989997</v>
      </c>
      <c r="B141" s="46" t="s">
        <v>1397</v>
      </c>
      <c r="C141" s="32">
        <v>0.13865560162067414</v>
      </c>
      <c r="D141" s="32">
        <v>0.13865544731880136</v>
      </c>
      <c r="E141" s="31">
        <v>0.31938580028465335</v>
      </c>
      <c r="F141" s="31">
        <v>5.8450166552996702E-2</v>
      </c>
      <c r="G141" s="31">
        <v>15.754301466088599</v>
      </c>
      <c r="H141" s="31">
        <v>-12.071188038629595</v>
      </c>
      <c r="I141" s="48">
        <v>4.1410183813643107</v>
      </c>
      <c r="J141" s="47" t="s">
        <v>1398</v>
      </c>
      <c r="K141" s="32">
        <v>0.19871605536937711</v>
      </c>
      <c r="L141" s="32">
        <v>0.19871628794643845</v>
      </c>
      <c r="M141" s="31">
        <v>-0.62253153172712039</v>
      </c>
      <c r="N141" s="31">
        <v>4.3369322844019773E-2</v>
      </c>
      <c r="O141" s="31">
        <v>16.752961016334591</v>
      </c>
      <c r="P141" s="31">
        <v>-18.016546281121247</v>
      </c>
      <c r="Q141" s="31">
        <v>-8.7712370229543595</v>
      </c>
      <c r="R141" s="31">
        <v>1.2400024309178974</v>
      </c>
      <c r="S141" s="31">
        <v>5.24999610364529</v>
      </c>
      <c r="T141" s="26" t="s">
        <v>46</v>
      </c>
      <c r="U141" s="26" t="s">
        <v>46</v>
      </c>
    </row>
    <row r="142" spans="1:21" x14ac:dyDescent="0.2">
      <c r="A142" s="31">
        <v>1.0278196519117446</v>
      </c>
      <c r="B142" s="46" t="s">
        <v>1399</v>
      </c>
      <c r="C142" s="32">
        <v>0.14054384529590608</v>
      </c>
      <c r="D142" s="32">
        <v>0.14054405631690958</v>
      </c>
      <c r="E142" s="31">
        <v>0.26760199808685947</v>
      </c>
      <c r="F142" s="31">
        <v>5.3121079560938186E-2</v>
      </c>
      <c r="G142" s="31">
        <v>14.512916723425663</v>
      </c>
      <c r="H142" s="31">
        <v>-11.26156167137963</v>
      </c>
      <c r="I142" s="48">
        <v>3.4740803533020639</v>
      </c>
      <c r="J142" s="47" t="s">
        <v>1400</v>
      </c>
      <c r="K142" s="32">
        <v>0.20396165351867676</v>
      </c>
      <c r="L142" s="32">
        <v>0.2039615141209242</v>
      </c>
      <c r="M142" s="31">
        <v>-0.65949999588411856</v>
      </c>
      <c r="N142" s="31">
        <v>4.0768538836948136E-2</v>
      </c>
      <c r="O142" s="31">
        <v>16.164030067594236</v>
      </c>
      <c r="P142" s="31">
        <v>-17.825793062568128</v>
      </c>
      <c r="Q142" s="31">
        <v>-9.3321072723624408</v>
      </c>
      <c r="R142" s="31">
        <v>0.98999693746879558</v>
      </c>
      <c r="S142" s="31">
        <v>6.000002253229292</v>
      </c>
      <c r="T142" s="26" t="s">
        <v>46</v>
      </c>
      <c r="U142" s="26" t="s">
        <v>46</v>
      </c>
    </row>
    <row r="143" spans="1:21" x14ac:dyDescent="0.2">
      <c r="A143" s="31">
        <v>1.044949979443607</v>
      </c>
      <c r="B143" s="46" t="s">
        <v>1401</v>
      </c>
      <c r="C143" s="32">
        <v>0.14077415380477903</v>
      </c>
      <c r="D143" s="32">
        <v>0.14077340524140858</v>
      </c>
      <c r="E143" s="31">
        <v>0.15680986588711199</v>
      </c>
      <c r="F143" s="31">
        <v>3.8686932517103846E-2</v>
      </c>
      <c r="G143" s="31">
        <v>10.586763233623365</v>
      </c>
      <c r="H143" s="31">
        <v>-8.2159708442749917</v>
      </c>
      <c r="I143" s="48">
        <v>2.0430595487758545</v>
      </c>
      <c r="J143" s="47" t="s">
        <v>1402</v>
      </c>
      <c r="K143" s="32">
        <v>0</v>
      </c>
      <c r="L143" s="32">
        <v>0</v>
      </c>
      <c r="M143" s="31">
        <v>-0.50000000052480864</v>
      </c>
      <c r="N143" s="31">
        <v>0</v>
      </c>
      <c r="O143" s="31">
        <v>0</v>
      </c>
      <c r="P143" s="31">
        <v>0</v>
      </c>
      <c r="Q143" s="31">
        <v>0</v>
      </c>
      <c r="R143" s="31">
        <v>0.50000792484086887</v>
      </c>
      <c r="S143" s="31">
        <v>0</v>
      </c>
      <c r="T143" s="26" t="s">
        <v>46</v>
      </c>
      <c r="U143" s="26" t="s">
        <v>46</v>
      </c>
    </row>
    <row r="144" spans="1:21" x14ac:dyDescent="0.2">
      <c r="A144" s="31">
        <v>1.0620803069754694</v>
      </c>
      <c r="B144" s="46" t="s">
        <v>1403</v>
      </c>
      <c r="C144" s="32">
        <v>0.13136154518127441</v>
      </c>
      <c r="D144" s="32">
        <v>0.13136065427042967</v>
      </c>
      <c r="E144" s="31">
        <v>6.7779024787746778E-2</v>
      </c>
      <c r="F144" s="31">
        <v>2.2613671326468479E-2</v>
      </c>
      <c r="G144" s="31">
        <v>5.7745121985043424</v>
      </c>
      <c r="H144" s="31">
        <v>-4.1778882832945676</v>
      </c>
      <c r="I144" s="48">
        <v>0.88729475113070211</v>
      </c>
      <c r="J144" s="47" t="s">
        <v>1404</v>
      </c>
      <c r="K144" s="32">
        <v>0.22612419841289516</v>
      </c>
      <c r="L144" s="32">
        <v>0.22612469552680878</v>
      </c>
      <c r="M144" s="31">
        <v>-0.80078418717529398</v>
      </c>
      <c r="N144" s="31">
        <v>2.8014783482428435E-2</v>
      </c>
      <c r="O144" s="31">
        <v>12.314315880574421</v>
      </c>
      <c r="P144" s="31">
        <v>-14.96254962341075</v>
      </c>
      <c r="Q144" s="31">
        <v>-11.588206360093874</v>
      </c>
      <c r="R144" s="31">
        <v>0.17000514453563831</v>
      </c>
      <c r="S144" s="31">
        <v>10.09999387837706</v>
      </c>
      <c r="T144" s="26" t="s">
        <v>46</v>
      </c>
      <c r="U144" s="26" t="s">
        <v>46</v>
      </c>
    </row>
    <row r="145" spans="1:21" x14ac:dyDescent="0.2">
      <c r="A145" s="31">
        <v>1.0792106345073318</v>
      </c>
      <c r="B145" s="46" t="s">
        <v>1405</v>
      </c>
      <c r="C145" s="32">
        <v>0.13652274456024172</v>
      </c>
      <c r="D145" s="32">
        <v>0.13652277804370921</v>
      </c>
      <c r="E145" s="31">
        <v>3.418797418789854E-2</v>
      </c>
      <c r="F145" s="31">
        <v>1.2592008621757139E-2</v>
      </c>
      <c r="G145" s="31">
        <v>3.3417657369867868</v>
      </c>
      <c r="H145" s="31">
        <v>-2.5106222870053485</v>
      </c>
      <c r="I145" s="48">
        <v>0.4480793817810948</v>
      </c>
      <c r="J145" s="47" t="s">
        <v>1406</v>
      </c>
      <c r="K145" s="32">
        <v>0.11276520595550536</v>
      </c>
      <c r="L145" s="32">
        <v>0.11276089760651344</v>
      </c>
      <c r="M145" s="31">
        <v>-0.98660027051137145</v>
      </c>
      <c r="N145" s="31">
        <v>6.9115700449038781E-3</v>
      </c>
      <c r="O145" s="31">
        <v>1.5150529459668072</v>
      </c>
      <c r="P145" s="31">
        <v>-0.57820565494808518</v>
      </c>
      <c r="Q145" s="31">
        <v>-14.195604519254237</v>
      </c>
      <c r="R145" s="31">
        <v>7.9999888106054406E-2</v>
      </c>
      <c r="S145" s="31">
        <v>11.550006526755983</v>
      </c>
      <c r="T145" s="26" t="s">
        <v>46</v>
      </c>
      <c r="U145" s="26" t="s">
        <v>46</v>
      </c>
    </row>
    <row r="146" spans="1:21" x14ac:dyDescent="0.2">
      <c r="A146" s="31">
        <v>1.0963409620391942</v>
      </c>
      <c r="B146" s="46" t="s">
        <v>1407</v>
      </c>
      <c r="C146" s="32">
        <v>0.13736959323883058</v>
      </c>
      <c r="D146" s="32">
        <v>0.13736634773940465</v>
      </c>
      <c r="E146" s="31">
        <v>1.4243836512384367E-2</v>
      </c>
      <c r="F146" s="31">
        <v>5.9805767691785703E-3</v>
      </c>
      <c r="G146" s="31">
        <v>1.5970174475960064</v>
      </c>
      <c r="H146" s="31">
        <v>-1.2065419422924315</v>
      </c>
      <c r="I146" s="48">
        <v>0.1869882489768574</v>
      </c>
      <c r="J146" s="29" t="s">
        <v>1408</v>
      </c>
      <c r="K146" s="32">
        <v>0</v>
      </c>
      <c r="L146" s="32">
        <v>0</v>
      </c>
      <c r="M146" s="31">
        <v>-0.50000000052480864</v>
      </c>
      <c r="N146" s="31">
        <v>0</v>
      </c>
      <c r="O146" s="31">
        <v>0</v>
      </c>
      <c r="P146" s="31">
        <v>0</v>
      </c>
      <c r="Q146" s="31">
        <v>0</v>
      </c>
      <c r="R146" s="31">
        <v>3.0005182819855758E-2</v>
      </c>
      <c r="S146" s="31">
        <v>0</v>
      </c>
      <c r="T146" s="26" t="s">
        <v>46</v>
      </c>
      <c r="U146" s="27" t="s">
        <v>47</v>
      </c>
    </row>
    <row r="147" spans="1:21" x14ac:dyDescent="0.2">
      <c r="A147" s="31">
        <v>1.1134712895710566</v>
      </c>
      <c r="B147" s="46" t="s">
        <v>1409</v>
      </c>
      <c r="C147" s="32">
        <v>4.6974218749999998E-2</v>
      </c>
      <c r="D147" s="32">
        <v>6.5365125413738664E-2</v>
      </c>
      <c r="E147" s="31">
        <v>2.1649348980190553E-14</v>
      </c>
      <c r="F147" s="31">
        <v>7.9521246336558469E-14</v>
      </c>
      <c r="G147" s="31">
        <v>7.2613726163193591E-12</v>
      </c>
      <c r="H147" s="31">
        <v>-1.8758800508344107E-12</v>
      </c>
      <c r="I147" s="48">
        <v>2.8809636034598586E-13</v>
      </c>
      <c r="J147" s="29" t="s">
        <v>1410</v>
      </c>
      <c r="K147" s="32">
        <v>0</v>
      </c>
      <c r="L147" s="32">
        <v>0</v>
      </c>
      <c r="M147" s="31">
        <v>-0.50000000052480864</v>
      </c>
      <c r="N147" s="31">
        <v>0</v>
      </c>
      <c r="O147" s="31">
        <v>0</v>
      </c>
      <c r="P147" s="31">
        <v>0</v>
      </c>
      <c r="Q147" s="31">
        <v>0</v>
      </c>
      <c r="R147" s="31">
        <v>5.680725094877017E-15</v>
      </c>
      <c r="S147" s="31">
        <v>0</v>
      </c>
      <c r="T147" s="26" t="s">
        <v>46</v>
      </c>
      <c r="U147" s="27" t="s">
        <v>47</v>
      </c>
    </row>
    <row r="148" spans="1:21" x14ac:dyDescent="0.2">
      <c r="A148" s="31">
        <v>1.130601617102919</v>
      </c>
      <c r="B148" s="46" t="s">
        <v>1411</v>
      </c>
      <c r="C148" s="32">
        <v>9.3848437499999993E-2</v>
      </c>
      <c r="D148" s="32">
        <v>7.4523539232809508E-2</v>
      </c>
      <c r="E148" s="31">
        <v>8.248532867072278E-6</v>
      </c>
      <c r="F148" s="31">
        <v>9.0037873766259879E-6</v>
      </c>
      <c r="G148" s="31">
        <v>1.6425865261887429E-3</v>
      </c>
      <c r="H148" s="31">
        <v>-8.4724905101957431E-4</v>
      </c>
      <c r="I148" s="48">
        <v>1.0921605734653566E-4</v>
      </c>
      <c r="J148" s="29" t="s">
        <v>1412</v>
      </c>
      <c r="K148" s="32">
        <v>0</v>
      </c>
      <c r="L148" s="32">
        <v>0</v>
      </c>
      <c r="M148" s="31">
        <v>-0.50000000052480864</v>
      </c>
      <c r="N148" s="31">
        <v>0</v>
      </c>
      <c r="O148" s="31">
        <v>0</v>
      </c>
      <c r="P148" s="31">
        <v>0</v>
      </c>
      <c r="Q148" s="31">
        <v>0</v>
      </c>
      <c r="R148" s="31">
        <v>7.1902059538859076E-6</v>
      </c>
      <c r="S148" s="31">
        <v>0</v>
      </c>
      <c r="T148" s="26" t="s">
        <v>46</v>
      </c>
      <c r="U148" s="27" t="s">
        <v>47</v>
      </c>
    </row>
    <row r="149" spans="1:21" x14ac:dyDescent="0.2">
      <c r="A149" s="31">
        <v>1.1477319446347813</v>
      </c>
      <c r="B149" s="46" t="s">
        <v>1413</v>
      </c>
      <c r="C149" s="32">
        <v>9.3848437499999993E-2</v>
      </c>
      <c r="D149" s="32">
        <v>8.350350241713532E-2</v>
      </c>
      <c r="E149" s="31">
        <v>6.5585787334399015E-7</v>
      </c>
      <c r="F149" s="31">
        <v>7.9624091840433275E-7</v>
      </c>
      <c r="G149" s="31">
        <v>1.452604942189581E-4</v>
      </c>
      <c r="H149" s="31">
        <v>-7.4901192784044662E-5</v>
      </c>
      <c r="I149" s="48">
        <v>8.6890303730592255E-6</v>
      </c>
      <c r="J149" s="29" t="s">
        <v>1414</v>
      </c>
      <c r="K149" s="32">
        <v>0</v>
      </c>
      <c r="L149" s="32">
        <v>0</v>
      </c>
      <c r="M149" s="31">
        <v>-0.50000000052480864</v>
      </c>
      <c r="N149" s="31">
        <v>0</v>
      </c>
      <c r="O149" s="31">
        <v>0</v>
      </c>
      <c r="P149" s="31">
        <v>0</v>
      </c>
      <c r="Q149" s="31">
        <v>0</v>
      </c>
      <c r="R149" s="31">
        <v>5.1745182923530341E-7</v>
      </c>
      <c r="S149" s="31">
        <v>0</v>
      </c>
      <c r="T149" s="26" t="s">
        <v>46</v>
      </c>
      <c r="U149" s="27" t="s">
        <v>47</v>
      </c>
    </row>
    <row r="150" spans="1:21" x14ac:dyDescent="0.2">
      <c r="A150" s="31">
        <v>1.164862272166644</v>
      </c>
      <c r="B150" s="46" t="s">
        <v>1415</v>
      </c>
      <c r="C150" s="32">
        <v>9.3848437499999993E-2</v>
      </c>
      <c r="D150" s="32">
        <v>9.2309852101663536E-2</v>
      </c>
      <c r="E150" s="31">
        <v>4.1524946259308138E-8</v>
      </c>
      <c r="F150" s="31">
        <v>5.5436832339580374E-8</v>
      </c>
      <c r="G150" s="31">
        <v>1.0113498914020573E-5</v>
      </c>
      <c r="H150" s="31">
        <v>-5.2134851098963957E-6</v>
      </c>
      <c r="I150" s="48">
        <v>5.5040133632006244E-7</v>
      </c>
      <c r="J150" s="29" t="s">
        <v>1416</v>
      </c>
      <c r="K150" s="32">
        <v>0</v>
      </c>
      <c r="L150" s="32">
        <v>0</v>
      </c>
      <c r="M150" s="31">
        <v>-0.50000000052480864</v>
      </c>
      <c r="N150" s="31">
        <v>0</v>
      </c>
      <c r="O150" s="31">
        <v>0</v>
      </c>
      <c r="P150" s="31">
        <v>0</v>
      </c>
      <c r="Q150" s="31">
        <v>0</v>
      </c>
      <c r="R150" s="31">
        <v>2.9922074541433358E-8</v>
      </c>
      <c r="S150" s="31">
        <v>0</v>
      </c>
      <c r="T150" s="26" t="s">
        <v>46</v>
      </c>
      <c r="U150" s="27" t="s">
        <v>47</v>
      </c>
    </row>
    <row r="151" spans="1:21" x14ac:dyDescent="0.2">
      <c r="A151" s="31">
        <v>1.1991229272303687</v>
      </c>
      <c r="B151" s="46" t="s">
        <v>1417</v>
      </c>
      <c r="C151" s="32">
        <v>9.3848437499999993E-2</v>
      </c>
      <c r="D151" s="32">
        <v>0.10941972834889439</v>
      </c>
      <c r="E151" s="31">
        <v>8.7128082526533035E-11</v>
      </c>
      <c r="F151" s="31">
        <v>1.369341805605841E-10</v>
      </c>
      <c r="G151" s="31">
        <v>2.4981291822530697E-8</v>
      </c>
      <c r="H151" s="31">
        <v>-1.2872661446130657E-8</v>
      </c>
      <c r="I151" s="48">
        <v>1.1557238133625988E-9</v>
      </c>
      <c r="J151" s="29" t="s">
        <v>1418</v>
      </c>
      <c r="K151" s="32">
        <v>0</v>
      </c>
      <c r="L151" s="32">
        <v>0</v>
      </c>
      <c r="M151" s="31">
        <v>-0.50000000052480864</v>
      </c>
      <c r="N151" s="31">
        <v>0</v>
      </c>
      <c r="O151" s="31">
        <v>0</v>
      </c>
      <c r="P151" s="31">
        <v>0</v>
      </c>
      <c r="Q151" s="31">
        <v>0</v>
      </c>
      <c r="R151" s="31">
        <v>5.3526828832256787E-11</v>
      </c>
      <c r="S151" s="31">
        <v>0</v>
      </c>
      <c r="T151" s="26" t="s">
        <v>46</v>
      </c>
      <c r="U151" s="27" t="s">
        <v>47</v>
      </c>
    </row>
    <row r="152" spans="1:21" x14ac:dyDescent="0.2">
      <c r="A152" s="31">
        <v>0.82225572152939563</v>
      </c>
      <c r="B152" s="28" t="s">
        <v>1419</v>
      </c>
      <c r="C152" s="32">
        <v>0</v>
      </c>
      <c r="D152" s="32">
        <v>0</v>
      </c>
      <c r="E152" s="31">
        <v>0.50000000052480864</v>
      </c>
      <c r="F152" s="31">
        <v>0</v>
      </c>
      <c r="G152" s="31">
        <v>0</v>
      </c>
      <c r="H152" s="31">
        <v>0</v>
      </c>
      <c r="I152" s="31">
        <v>0</v>
      </c>
      <c r="J152" s="47" t="s">
        <v>1420</v>
      </c>
      <c r="K152" s="32">
        <v>0.25458947181701663</v>
      </c>
      <c r="L152" s="32">
        <v>0.25458847401761125</v>
      </c>
      <c r="M152" s="31">
        <v>-9.3475784392209604E-3</v>
      </c>
      <c r="N152" s="31">
        <v>2.0287788751337044E-3</v>
      </c>
      <c r="O152" s="31">
        <v>1.2223098978554021</v>
      </c>
      <c r="P152" s="31">
        <v>-1.397112915070799</v>
      </c>
      <c r="Q152" s="31">
        <v>-0.15602056724317945</v>
      </c>
      <c r="R152" s="31">
        <v>0</v>
      </c>
      <c r="S152" s="31">
        <v>4.0001219607332494E-2</v>
      </c>
      <c r="T152" s="27" t="s">
        <v>47</v>
      </c>
      <c r="U152" s="26" t="s">
        <v>46</v>
      </c>
    </row>
    <row r="153" spans="1:21" x14ac:dyDescent="0.2">
      <c r="A153" s="31">
        <v>0.85651637659312052</v>
      </c>
      <c r="B153" s="28" t="s">
        <v>1421</v>
      </c>
      <c r="C153" s="32">
        <v>0</v>
      </c>
      <c r="D153" s="32">
        <v>0</v>
      </c>
      <c r="E153" s="31">
        <v>0.50000000052480864</v>
      </c>
      <c r="F153" s="31">
        <v>0</v>
      </c>
      <c r="G153" s="31">
        <v>0</v>
      </c>
      <c r="H153" s="31">
        <v>0</v>
      </c>
      <c r="I153" s="31">
        <v>0</v>
      </c>
      <c r="J153" s="47" t="s">
        <v>1422</v>
      </c>
      <c r="K153" s="32">
        <v>0.2289208017349243</v>
      </c>
      <c r="L153" s="32">
        <v>0.22892269484269592</v>
      </c>
      <c r="M153" s="31">
        <v>-1.9168856980220972E-2</v>
      </c>
      <c r="N153" s="31">
        <v>4.1938858866386684E-3</v>
      </c>
      <c r="O153" s="31">
        <v>2.2719985088680623</v>
      </c>
      <c r="P153" s="31">
        <v>-2.3338664918500314</v>
      </c>
      <c r="Q153" s="31">
        <v>-0.31972217428991262</v>
      </c>
      <c r="R153" s="31">
        <v>0</v>
      </c>
      <c r="S153" s="31">
        <v>7.9995698788518532E-2</v>
      </c>
      <c r="T153" s="27" t="s">
        <v>47</v>
      </c>
      <c r="U153" s="26" t="s">
        <v>46</v>
      </c>
    </row>
    <row r="154" spans="1:21" x14ac:dyDescent="0.2">
      <c r="A154" s="31">
        <v>0.88392490064410034</v>
      </c>
      <c r="B154" s="28" t="s">
        <v>1423</v>
      </c>
      <c r="C154" s="32">
        <v>0</v>
      </c>
      <c r="D154" s="32">
        <v>0</v>
      </c>
      <c r="E154" s="31">
        <v>0.50000000052480864</v>
      </c>
      <c r="F154" s="31">
        <v>0</v>
      </c>
      <c r="G154" s="31">
        <v>0</v>
      </c>
      <c r="H154" s="31">
        <v>0</v>
      </c>
      <c r="I154" s="31">
        <v>0</v>
      </c>
      <c r="J154" s="47" t="s">
        <v>1424</v>
      </c>
      <c r="K154" s="32">
        <v>0.23449398155212403</v>
      </c>
      <c r="L154" s="32">
        <v>0.23449396003078093</v>
      </c>
      <c r="M154" s="31">
        <v>-5.2524353329427287E-2</v>
      </c>
      <c r="N154" s="31">
        <v>9.4024775817734257E-3</v>
      </c>
      <c r="O154" s="31">
        <v>5.2177129358168486</v>
      </c>
      <c r="P154" s="31">
        <v>-5.4876218270455377</v>
      </c>
      <c r="Q154" s="31">
        <v>-0.88060082488792724</v>
      </c>
      <c r="R154" s="31">
        <v>0</v>
      </c>
      <c r="S154" s="31">
        <v>0.26000011229214348</v>
      </c>
      <c r="T154" s="27" t="s">
        <v>47</v>
      </c>
      <c r="U154" s="26" t="s">
        <v>46</v>
      </c>
    </row>
    <row r="155" spans="1:21" x14ac:dyDescent="0.2">
      <c r="A155" s="31">
        <v>0.8907770316568453</v>
      </c>
      <c r="B155" s="28" t="s">
        <v>1425</v>
      </c>
      <c r="C155" s="32">
        <v>0</v>
      </c>
      <c r="D155" s="32">
        <v>0</v>
      </c>
      <c r="E155" s="31">
        <v>0.50000000052480864</v>
      </c>
      <c r="F155" s="31">
        <v>0</v>
      </c>
      <c r="G155" s="31">
        <v>0</v>
      </c>
      <c r="H155" s="31">
        <v>0</v>
      </c>
      <c r="I155" s="31">
        <v>0</v>
      </c>
      <c r="J155" s="47" t="s">
        <v>1426</v>
      </c>
      <c r="K155" s="32">
        <v>0.23321512560844423</v>
      </c>
      <c r="L155" s="32">
        <v>0.23321445604630323</v>
      </c>
      <c r="M155" s="31">
        <v>-6.3010617125697888E-2</v>
      </c>
      <c r="N155" s="31">
        <v>1.0909184368733409E-2</v>
      </c>
      <c r="O155" s="31">
        <v>6.0208134328467473</v>
      </c>
      <c r="P155" s="31">
        <v>-6.2967651397770021</v>
      </c>
      <c r="Q155" s="31">
        <v>-1.0573084421076846</v>
      </c>
      <c r="R155" s="31">
        <v>0</v>
      </c>
      <c r="S155" s="31">
        <v>0.32000403129588784</v>
      </c>
      <c r="T155" s="27" t="s">
        <v>47</v>
      </c>
      <c r="U155" s="26" t="s">
        <v>46</v>
      </c>
    </row>
    <row r="156" spans="1:21" x14ac:dyDescent="0.2">
      <c r="A156" s="31">
        <v>0.90448129368233521</v>
      </c>
      <c r="B156" s="28" t="s">
        <v>1427</v>
      </c>
      <c r="C156" s="32">
        <v>0</v>
      </c>
      <c r="D156" s="32">
        <v>0</v>
      </c>
      <c r="E156" s="31">
        <v>0.50000000052480864</v>
      </c>
      <c r="F156" s="31">
        <v>0</v>
      </c>
      <c r="G156" s="31">
        <v>0</v>
      </c>
      <c r="H156" s="31">
        <v>0</v>
      </c>
      <c r="I156" s="31">
        <v>0</v>
      </c>
      <c r="J156" s="47" t="s">
        <v>1428</v>
      </c>
      <c r="K156" s="32">
        <v>0.22856604080200196</v>
      </c>
      <c r="L156" s="32">
        <v>0.22856625442527564</v>
      </c>
      <c r="M156" s="31">
        <v>-8.7050163485222432E-2</v>
      </c>
      <c r="N156" s="31">
        <v>1.4246683028348656E-2</v>
      </c>
      <c r="O156" s="31">
        <v>7.7060467929243162</v>
      </c>
      <c r="P156" s="31">
        <v>-7.8957552973412133</v>
      </c>
      <c r="Q156" s="31">
        <v>-1.462677694701805</v>
      </c>
      <c r="R156" s="31">
        <v>0</v>
      </c>
      <c r="S156" s="31">
        <v>0.45999835380772014</v>
      </c>
      <c r="T156" s="27" t="s">
        <v>47</v>
      </c>
      <c r="U156" s="26" t="s">
        <v>46</v>
      </c>
    </row>
    <row r="157" spans="1:21" x14ac:dyDescent="0.2">
      <c r="A157" s="31">
        <v>0.92503768672057007</v>
      </c>
      <c r="B157" s="28" t="s">
        <v>1429</v>
      </c>
      <c r="C157" s="32">
        <v>0</v>
      </c>
      <c r="D157" s="32">
        <v>0</v>
      </c>
      <c r="E157" s="31">
        <v>0.50000000052480864</v>
      </c>
      <c r="F157" s="31">
        <v>0</v>
      </c>
      <c r="G157" s="31">
        <v>0</v>
      </c>
      <c r="H157" s="31">
        <v>0</v>
      </c>
      <c r="I157" s="31">
        <v>0</v>
      </c>
      <c r="J157" s="47" t="s">
        <v>1430</v>
      </c>
      <c r="K157" s="32">
        <v>0.19290970606803892</v>
      </c>
      <c r="L157" s="32">
        <v>0.19290973964062272</v>
      </c>
      <c r="M157" s="31">
        <v>-0.10603447202038596</v>
      </c>
      <c r="N157" s="31">
        <v>1.9514214621461259E-2</v>
      </c>
      <c r="O157" s="31">
        <v>8.9086383894106973</v>
      </c>
      <c r="P157" s="31">
        <v>-7.6968139205444945</v>
      </c>
      <c r="Q157" s="31">
        <v>-1.7738521115942083</v>
      </c>
      <c r="R157" s="31">
        <v>0</v>
      </c>
      <c r="S157" s="31">
        <v>0.48999970091394551</v>
      </c>
      <c r="T157" s="27" t="s">
        <v>47</v>
      </c>
      <c r="U157" s="26" t="s">
        <v>46</v>
      </c>
    </row>
    <row r="158" spans="1:21" x14ac:dyDescent="0.2">
      <c r="A158" s="31">
        <v>0.93874194874605998</v>
      </c>
      <c r="B158" s="46" t="s">
        <v>1431</v>
      </c>
      <c r="C158" s="32">
        <v>0</v>
      </c>
      <c r="D158" s="32">
        <v>0</v>
      </c>
      <c r="E158" s="31">
        <v>0.50000000052480864</v>
      </c>
      <c r="F158" s="31">
        <v>0</v>
      </c>
      <c r="G158" s="31">
        <v>0</v>
      </c>
      <c r="H158" s="31">
        <v>0</v>
      </c>
      <c r="I158" s="31">
        <v>0</v>
      </c>
      <c r="J158" s="47" t="s">
        <v>1432</v>
      </c>
      <c r="K158" s="32">
        <v>0.21228709154129027</v>
      </c>
      <c r="L158" s="32">
        <v>0.21228671492150281</v>
      </c>
      <c r="M158" s="31">
        <v>-0.17558302137505888</v>
      </c>
      <c r="N158" s="31">
        <v>2.5013850606725622E-2</v>
      </c>
      <c r="O158" s="31">
        <v>12.566383608922081</v>
      </c>
      <c r="P158" s="31">
        <v>-11.943305072708252</v>
      </c>
      <c r="Q158" s="31">
        <v>-2.9593986076183563</v>
      </c>
      <c r="R158" s="31">
        <v>0</v>
      </c>
      <c r="S158" s="31">
        <v>1.0100047327453412</v>
      </c>
      <c r="T158" s="26" t="s">
        <v>46</v>
      </c>
      <c r="U158" s="26" t="s">
        <v>46</v>
      </c>
    </row>
    <row r="159" spans="1:21" x14ac:dyDescent="0.2">
      <c r="A159" s="31">
        <v>0.94559407975880505</v>
      </c>
      <c r="B159" s="28" t="s">
        <v>1433</v>
      </c>
      <c r="C159" s="32">
        <v>0</v>
      </c>
      <c r="D159" s="32">
        <v>0</v>
      </c>
      <c r="E159" s="31">
        <v>0.50000000052480864</v>
      </c>
      <c r="F159" s="31">
        <v>0</v>
      </c>
      <c r="G159" s="31">
        <v>0</v>
      </c>
      <c r="H159" s="31">
        <v>0</v>
      </c>
      <c r="I159" s="31">
        <v>0</v>
      </c>
      <c r="J159" s="47" t="s">
        <v>1434</v>
      </c>
      <c r="K159" s="32">
        <v>0.21017283082008362</v>
      </c>
      <c r="L159" s="32">
        <v>0.21017313725666795</v>
      </c>
      <c r="M159" s="31">
        <v>-0.20124302458005683</v>
      </c>
      <c r="N159" s="31">
        <v>2.7484317247278837E-2</v>
      </c>
      <c r="O159" s="31">
        <v>13.669974394227847</v>
      </c>
      <c r="P159" s="31">
        <v>-12.858470848002305</v>
      </c>
      <c r="Q159" s="31">
        <v>-3.3954890109108953</v>
      </c>
      <c r="R159" s="31">
        <v>0</v>
      </c>
      <c r="S159" s="31">
        <v>1.1899958110177746</v>
      </c>
      <c r="T159" s="27" t="s">
        <v>47</v>
      </c>
      <c r="U159" s="26" t="s">
        <v>46</v>
      </c>
    </row>
    <row r="160" spans="1:21" x14ac:dyDescent="0.2">
      <c r="A160" s="31">
        <v>0.95929834178429496</v>
      </c>
      <c r="B160" s="28" t="s">
        <v>1435</v>
      </c>
      <c r="C160" s="32">
        <v>0</v>
      </c>
      <c r="D160" s="32">
        <v>0</v>
      </c>
      <c r="E160" s="31">
        <v>0.50000000052480864</v>
      </c>
      <c r="F160" s="31">
        <v>0</v>
      </c>
      <c r="G160" s="31">
        <v>0</v>
      </c>
      <c r="H160" s="31">
        <v>0</v>
      </c>
      <c r="I160" s="31">
        <v>0</v>
      </c>
      <c r="J160" s="47" t="s">
        <v>1436</v>
      </c>
      <c r="K160" s="32">
        <v>0.20972079672813412</v>
      </c>
      <c r="L160" s="32">
        <v>0.20972103453396324</v>
      </c>
      <c r="M160" s="31">
        <v>-0.26336156069454852</v>
      </c>
      <c r="N160" s="31">
        <v>3.2003877019317242E-2</v>
      </c>
      <c r="O160" s="31">
        <v>15.883648445318231</v>
      </c>
      <c r="P160" s="31">
        <v>-14.897803862564901</v>
      </c>
      <c r="Q160" s="31">
        <v>-4.4583318112501589</v>
      </c>
      <c r="R160" s="31">
        <v>0</v>
      </c>
      <c r="S160" s="31">
        <v>1.6899962227750804</v>
      </c>
      <c r="T160" s="27" t="s">
        <v>47</v>
      </c>
      <c r="U160" s="26" t="s">
        <v>46</v>
      </c>
    </row>
    <row r="161" spans="1:21" x14ac:dyDescent="0.2">
      <c r="A161" s="31">
        <v>0.96615047279703992</v>
      </c>
      <c r="B161" s="46" t="s">
        <v>1437</v>
      </c>
      <c r="C161" s="32">
        <v>0.21443711445331576</v>
      </c>
      <c r="D161" s="32">
        <v>0.21443703772384567</v>
      </c>
      <c r="E161" s="31">
        <v>0.69884241452287243</v>
      </c>
      <c r="F161" s="31">
        <v>3.338855390346171E-2</v>
      </c>
      <c r="G161" s="31">
        <v>16.943523862252128</v>
      </c>
      <c r="H161" s="31">
        <v>-16.568301472515774</v>
      </c>
      <c r="I161" s="31">
        <v>10.548783908244612</v>
      </c>
      <c r="J161" s="47" t="s">
        <v>1438</v>
      </c>
      <c r="K161" s="32">
        <v>0.20709012997150417</v>
      </c>
      <c r="L161" s="32">
        <v>0.2070898465978484</v>
      </c>
      <c r="M161" s="31">
        <v>-0.29561034785759188</v>
      </c>
      <c r="N161" s="31">
        <v>3.4281768708511906E-2</v>
      </c>
      <c r="O161" s="31">
        <v>16.800754879377365</v>
      </c>
      <c r="P161" s="31">
        <v>-15.553007118426551</v>
      </c>
      <c r="Q161" s="31">
        <v>-5.0101538032288291</v>
      </c>
      <c r="R161" s="31">
        <v>7.0500013000675494</v>
      </c>
      <c r="S161" s="31">
        <v>1.9500047608905198</v>
      </c>
      <c r="T161" s="26" t="s">
        <v>46</v>
      </c>
      <c r="U161" s="26" t="s">
        <v>46</v>
      </c>
    </row>
    <row r="162" spans="1:21" x14ac:dyDescent="0.2">
      <c r="A162" s="31">
        <v>0.97300260380978487</v>
      </c>
      <c r="B162" s="28" t="s">
        <v>1439</v>
      </c>
      <c r="C162" s="32">
        <v>0</v>
      </c>
      <c r="D162" s="32">
        <v>0</v>
      </c>
      <c r="E162" s="31">
        <v>0.50000000052480864</v>
      </c>
      <c r="F162" s="31">
        <v>0</v>
      </c>
      <c r="G162" s="31">
        <v>0</v>
      </c>
      <c r="H162" s="31">
        <v>0</v>
      </c>
      <c r="I162" s="31">
        <v>0</v>
      </c>
      <c r="J162" s="47" t="s">
        <v>1440</v>
      </c>
      <c r="K162" s="32">
        <v>0.20548083138465881</v>
      </c>
      <c r="L162" s="32">
        <v>0.20548067793441235</v>
      </c>
      <c r="M162" s="31">
        <v>-0.3308542541506021</v>
      </c>
      <c r="N162" s="31">
        <v>3.6267010511931583E-2</v>
      </c>
      <c r="O162" s="31">
        <v>17.635559674560881</v>
      </c>
      <c r="P162" s="31">
        <v>-16.190709371320178</v>
      </c>
      <c r="Q162" s="31">
        <v>-5.6160973942618044</v>
      </c>
      <c r="R162" s="31">
        <v>0</v>
      </c>
      <c r="S162" s="31">
        <v>2.2600027061808081</v>
      </c>
      <c r="T162" s="27" t="s">
        <v>47</v>
      </c>
      <c r="U162" s="26" t="s">
        <v>46</v>
      </c>
    </row>
    <row r="163" spans="1:21" x14ac:dyDescent="0.2">
      <c r="A163" s="31">
        <v>0.97985473482252983</v>
      </c>
      <c r="B163" s="46" t="s">
        <v>1441</v>
      </c>
      <c r="C163" s="32">
        <v>0.12927875518798829</v>
      </c>
      <c r="D163" s="32">
        <v>0.12927919496264789</v>
      </c>
      <c r="E163" s="31">
        <v>0.69136886890509608</v>
      </c>
      <c r="F163" s="31">
        <v>5.5988743023237135E-2</v>
      </c>
      <c r="G163" s="31">
        <v>17.129080624088758</v>
      </c>
      <c r="H163" s="31">
        <v>-10.187209259569098</v>
      </c>
      <c r="I163" s="31">
        <v>10.738708545078227</v>
      </c>
      <c r="J163" s="47" t="s">
        <v>1442</v>
      </c>
      <c r="K163" s="32">
        <v>1.18185546875E-2</v>
      </c>
      <c r="L163" s="32">
        <v>1.138605104510859E-2</v>
      </c>
      <c r="M163" s="31">
        <v>-8.3696149233425388E-8</v>
      </c>
      <c r="N163" s="31">
        <v>7.8628945323926008E-7</v>
      </c>
      <c r="O163" s="31">
        <v>2.1991405870133827E-5</v>
      </c>
      <c r="P163" s="31">
        <v>-1.1414665806292458E-6</v>
      </c>
      <c r="Q163" s="31">
        <v>-1.3581288676853843E-6</v>
      </c>
      <c r="R163" s="31">
        <v>4.2499924670614746</v>
      </c>
      <c r="S163" s="31">
        <v>8.6110015784512939E-9</v>
      </c>
      <c r="T163" s="26" t="s">
        <v>46</v>
      </c>
      <c r="U163" s="26" t="s">
        <v>46</v>
      </c>
    </row>
    <row r="164" spans="1:21" x14ac:dyDescent="0.2">
      <c r="A164" s="31">
        <v>0.98670686583527478</v>
      </c>
      <c r="B164" s="28" t="s">
        <v>1443</v>
      </c>
      <c r="C164" s="32">
        <v>0</v>
      </c>
      <c r="D164" s="32">
        <v>0</v>
      </c>
      <c r="E164" s="31">
        <v>0.50000000052480864</v>
      </c>
      <c r="F164" s="31">
        <v>0</v>
      </c>
      <c r="G164" s="31">
        <v>0</v>
      </c>
      <c r="H164" s="31">
        <v>0</v>
      </c>
      <c r="I164" s="31">
        <v>0</v>
      </c>
      <c r="J164" s="47" t="s">
        <v>1444</v>
      </c>
      <c r="K164" s="32">
        <v>0.20284158170223238</v>
      </c>
      <c r="L164" s="32">
        <v>0.20284127209433578</v>
      </c>
      <c r="M164" s="31">
        <v>-0.40690701376051464</v>
      </c>
      <c r="N164" s="31">
        <v>3.9323852793248841E-2</v>
      </c>
      <c r="O164" s="31">
        <v>18.876402294398211</v>
      </c>
      <c r="P164" s="31">
        <v>-17.086653622896144</v>
      </c>
      <c r="Q164" s="31">
        <v>-6.9315564830471601</v>
      </c>
      <c r="R164" s="31">
        <v>0</v>
      </c>
      <c r="S164" s="31">
        <v>3.0000058442830113</v>
      </c>
      <c r="T164" s="27" t="s">
        <v>47</v>
      </c>
      <c r="U164" s="26" t="s">
        <v>46</v>
      </c>
    </row>
    <row r="165" spans="1:21" x14ac:dyDescent="0.2">
      <c r="A165" s="31">
        <v>0.99355899684801974</v>
      </c>
      <c r="B165" s="46" t="s">
        <v>1445</v>
      </c>
      <c r="C165" s="32">
        <v>0.13350727663040157</v>
      </c>
      <c r="D165" s="32">
        <v>0.13350737133047808</v>
      </c>
      <c r="E165" s="31">
        <v>0.56875115973476564</v>
      </c>
      <c r="F165" s="31">
        <v>6.0511558341055677E-2</v>
      </c>
      <c r="G165" s="31">
        <v>19.118307772295957</v>
      </c>
      <c r="H165" s="31">
        <v>-11.669727588772323</v>
      </c>
      <c r="I165" s="31">
        <v>8.8781724008451182</v>
      </c>
      <c r="J165" s="47" t="s">
        <v>1446</v>
      </c>
      <c r="K165" s="32">
        <v>0.2026613402605057</v>
      </c>
      <c r="L165" s="32">
        <v>0.20266092805410774</v>
      </c>
      <c r="M165" s="31">
        <v>-0.4470118081591451</v>
      </c>
      <c r="N165" s="31">
        <v>4.0108142249172793E-2</v>
      </c>
      <c r="O165" s="31">
        <v>19.235772470457285</v>
      </c>
      <c r="P165" s="31">
        <v>-17.384583550508538</v>
      </c>
      <c r="Q165" s="31">
        <v>-7.6318784363293464</v>
      </c>
      <c r="R165" s="31">
        <v>3.0999981894947695</v>
      </c>
      <c r="S165" s="31">
        <v>3.4500079291084074</v>
      </c>
      <c r="T165" s="26" t="s">
        <v>46</v>
      </c>
      <c r="U165" s="26" t="s">
        <v>46</v>
      </c>
    </row>
    <row r="166" spans="1:21" x14ac:dyDescent="0.2">
      <c r="A166" s="31">
        <v>1.0004111278607648</v>
      </c>
      <c r="B166" s="46" t="s">
        <v>1447</v>
      </c>
      <c r="C166" s="32">
        <v>0.13816351387500764</v>
      </c>
      <c r="D166" s="32">
        <v>0.13816307154758362</v>
      </c>
      <c r="E166" s="31">
        <v>0.50783918357016955</v>
      </c>
      <c r="F166" s="31">
        <v>5.9344401459148217E-2</v>
      </c>
      <c r="G166" s="31">
        <v>19.403465302098546</v>
      </c>
      <c r="H166" s="31">
        <v>-12.228150529794464</v>
      </c>
      <c r="I166" s="31">
        <v>7.9382254150103977</v>
      </c>
      <c r="J166" s="47" t="s">
        <v>1448</v>
      </c>
      <c r="K166" s="32">
        <v>0.19523710944652553</v>
      </c>
      <c r="L166" s="32">
        <v>0.19523754040758093</v>
      </c>
      <c r="M166" s="31">
        <v>-0.48797353743582972</v>
      </c>
      <c r="N166" s="31">
        <v>4.1985295461426805E-2</v>
      </c>
      <c r="O166" s="31">
        <v>19.398393164645661</v>
      </c>
      <c r="P166" s="31">
        <v>-16.870253750062869</v>
      </c>
      <c r="Q166" s="31">
        <v>-8.3349851262848258</v>
      </c>
      <c r="R166" s="31">
        <v>2.6700085826848436</v>
      </c>
      <c r="S166" s="31">
        <v>3.7999916400480291</v>
      </c>
      <c r="T166" s="26" t="s">
        <v>46</v>
      </c>
      <c r="U166" s="26" t="s">
        <v>46</v>
      </c>
    </row>
    <row r="167" spans="1:21" x14ac:dyDescent="0.2">
      <c r="A167" s="31">
        <v>1.0072632588735098</v>
      </c>
      <c r="B167" s="46" t="s">
        <v>1449</v>
      </c>
      <c r="C167" s="32">
        <v>0.1386749132037163</v>
      </c>
      <c r="D167" s="32">
        <v>0.13867505537686678</v>
      </c>
      <c r="E167" s="31">
        <v>0.44910626903990869</v>
      </c>
      <c r="F167" s="31">
        <v>5.8655103382035077E-2</v>
      </c>
      <c r="G167" s="31">
        <v>19.249075756250733</v>
      </c>
      <c r="H167" s="31">
        <v>-12.157779521971428</v>
      </c>
      <c r="I167" s="31">
        <v>7.0358419370624858</v>
      </c>
      <c r="J167" s="47" t="s">
        <v>1450</v>
      </c>
      <c r="K167" s="32">
        <v>0.14166463235616683</v>
      </c>
      <c r="L167" s="32">
        <v>0.14166472336436622</v>
      </c>
      <c r="M167" s="31">
        <v>-0.54943499382244121</v>
      </c>
      <c r="N167" s="31">
        <v>5.7443921059169595E-2</v>
      </c>
      <c r="O167" s="31">
        <v>19.258022509645407</v>
      </c>
      <c r="P167" s="31">
        <v>-12.084798623003849</v>
      </c>
      <c r="Q167" s="31">
        <v>-9.2760594834207328</v>
      </c>
      <c r="R167" s="31">
        <v>2.2199972632982323</v>
      </c>
      <c r="S167" s="31">
        <v>3.2999982473620322</v>
      </c>
      <c r="T167" s="26" t="s">
        <v>46</v>
      </c>
      <c r="U167" s="26" t="s">
        <v>46</v>
      </c>
    </row>
    <row r="168" spans="1:21" x14ac:dyDescent="0.2">
      <c r="A168" s="31">
        <v>1.0141153898862547</v>
      </c>
      <c r="B168" s="46" t="s">
        <v>1451</v>
      </c>
      <c r="C168" s="32">
        <v>0.13986364842653273</v>
      </c>
      <c r="D168" s="32">
        <v>0.13986353698821258</v>
      </c>
      <c r="E168" s="31">
        <v>0.39286549410854932</v>
      </c>
      <c r="F168" s="31">
        <v>5.6507152432421624E-2</v>
      </c>
      <c r="G168" s="31">
        <v>18.703136768983335</v>
      </c>
      <c r="H168" s="31">
        <v>-11.899138269747779</v>
      </c>
      <c r="I168" s="31">
        <v>6.1660876744341246</v>
      </c>
      <c r="J168" s="47" t="s">
        <v>1452</v>
      </c>
      <c r="K168" s="32">
        <v>0.19729915736913678</v>
      </c>
      <c r="L168" s="32">
        <v>0.1972991349601157</v>
      </c>
      <c r="M168" s="31">
        <v>-0.5699942620696864</v>
      </c>
      <c r="N168" s="31">
        <v>4.0923981869202458E-2</v>
      </c>
      <c r="O168" s="31">
        <v>19.107738471295384</v>
      </c>
      <c r="P168" s="31">
        <v>-16.76202274854953</v>
      </c>
      <c r="Q168" s="31">
        <v>-9.7927729335434233</v>
      </c>
      <c r="R168" s="31">
        <v>1.8400020842460663</v>
      </c>
      <c r="S168" s="31">
        <v>4.950000428185712</v>
      </c>
      <c r="T168" s="26" t="s">
        <v>46</v>
      </c>
      <c r="U168" s="26" t="s">
        <v>46</v>
      </c>
    </row>
    <row r="169" spans="1:21" x14ac:dyDescent="0.2">
      <c r="A169" s="31">
        <v>1.0209675208989997</v>
      </c>
      <c r="B169" s="46" t="s">
        <v>1453</v>
      </c>
      <c r="C169" s="32">
        <v>0.13918988875150681</v>
      </c>
      <c r="D169" s="32">
        <v>0.13918981541538214</v>
      </c>
      <c r="E169" s="31">
        <v>0.33777618564357426</v>
      </c>
      <c r="F169" s="31">
        <v>5.3977199960569815E-2</v>
      </c>
      <c r="G169" s="31">
        <v>17.779691212478159</v>
      </c>
      <c r="H169" s="31">
        <v>-11.246364207694615</v>
      </c>
      <c r="I169" s="31">
        <v>5.312783533343584</v>
      </c>
      <c r="J169" s="47" t="s">
        <v>1454</v>
      </c>
      <c r="K169" s="32">
        <v>0.19648592514991756</v>
      </c>
      <c r="L169" s="32">
        <v>0.19648591119076358</v>
      </c>
      <c r="M169" s="31">
        <v>-0.61032952419461628</v>
      </c>
      <c r="N169" s="31">
        <v>4.0130957188553057E-2</v>
      </c>
      <c r="O169" s="31">
        <v>18.660236295911638</v>
      </c>
      <c r="P169" s="31">
        <v>-16.281502635756922</v>
      </c>
      <c r="Q169" s="31">
        <v>-10.513498974651863</v>
      </c>
      <c r="R169" s="31">
        <v>1.4800013038935802</v>
      </c>
      <c r="S169" s="31">
        <v>5.5500002604811121</v>
      </c>
      <c r="T169" s="26" t="s">
        <v>46</v>
      </c>
      <c r="U169" s="26" t="s">
        <v>46</v>
      </c>
    </row>
    <row r="170" spans="1:21" x14ac:dyDescent="0.2">
      <c r="A170" s="31">
        <v>1.0278196519117446</v>
      </c>
      <c r="B170" s="46" t="s">
        <v>1455</v>
      </c>
      <c r="C170" s="32">
        <v>0.14073696112632753</v>
      </c>
      <c r="D170" s="32">
        <v>0.14073731320329025</v>
      </c>
      <c r="E170" s="31">
        <v>0.28910155138037119</v>
      </c>
      <c r="F170" s="31">
        <v>4.9924999177774314E-2</v>
      </c>
      <c r="G170" s="31">
        <v>16.627708796572584</v>
      </c>
      <c r="H170" s="31">
        <v>-10.624856840800993</v>
      </c>
      <c r="I170" s="31">
        <v>4.5534981375317827</v>
      </c>
      <c r="J170" s="47" t="s">
        <v>1456</v>
      </c>
      <c r="K170" s="32">
        <v>0.10362009851932523</v>
      </c>
      <c r="L170" s="32">
        <v>0.10361957034722845</v>
      </c>
      <c r="M170" s="31">
        <v>-0.77927994480162033</v>
      </c>
      <c r="N170" s="31">
        <v>5.884986698731446E-2</v>
      </c>
      <c r="O170" s="31">
        <v>14.430974552210316</v>
      </c>
      <c r="P170" s="31">
        <v>-6.4567558409912484</v>
      </c>
      <c r="Q170" s="31">
        <v>-13.153124673591245</v>
      </c>
      <c r="R170" s="31">
        <v>1.2099941457643411</v>
      </c>
      <c r="S170" s="31">
        <v>4.6500076220260551</v>
      </c>
      <c r="T170" s="26" t="s">
        <v>46</v>
      </c>
      <c r="U170" s="26" t="s">
        <v>46</v>
      </c>
    </row>
    <row r="171" spans="1:21" x14ac:dyDescent="0.2">
      <c r="A171" s="31">
        <v>1.044949979443607</v>
      </c>
      <c r="B171" s="46" t="s">
        <v>1457</v>
      </c>
      <c r="C171" s="32">
        <v>0.13896601743698123</v>
      </c>
      <c r="D171" s="32">
        <v>0.13896562025729681</v>
      </c>
      <c r="E171" s="31">
        <v>0.17864902179649911</v>
      </c>
      <c r="F171" s="31">
        <v>3.8631789679308394E-2</v>
      </c>
      <c r="G171" s="31">
        <v>12.704559567461306</v>
      </c>
      <c r="H171" s="31">
        <v>-8.0032528911403436</v>
      </c>
      <c r="I171" s="31">
        <v>2.8257817597037413</v>
      </c>
      <c r="J171" s="47" t="s">
        <v>1458</v>
      </c>
      <c r="K171" s="32">
        <v>0</v>
      </c>
      <c r="L171" s="32">
        <v>1.4707900306860271E-2</v>
      </c>
      <c r="M171" s="31">
        <v>-0.50000000052480864</v>
      </c>
      <c r="N171" s="31">
        <v>0</v>
      </c>
      <c r="O171" s="31">
        <v>0</v>
      </c>
      <c r="P171" s="31">
        <v>0</v>
      </c>
      <c r="Q171" s="31">
        <v>0</v>
      </c>
      <c r="R171" s="31">
        <v>0.64000504598651986</v>
      </c>
      <c r="S171" s="31">
        <v>0</v>
      </c>
      <c r="T171" s="26" t="s">
        <v>46</v>
      </c>
      <c r="U171" s="26" t="s">
        <v>46</v>
      </c>
    </row>
    <row r="172" spans="1:21" x14ac:dyDescent="0.2">
      <c r="A172" s="31">
        <v>1.0620803069754694</v>
      </c>
      <c r="B172" s="46" t="s">
        <v>1459</v>
      </c>
      <c r="C172" s="32">
        <v>0.14003888316154478</v>
      </c>
      <c r="D172" s="32">
        <v>0.14003842244268022</v>
      </c>
      <c r="E172" s="31">
        <v>0.10357162373836737</v>
      </c>
      <c r="F172" s="31">
        <v>2.642809861701121E-2</v>
      </c>
      <c r="G172" s="31">
        <v>8.7583184432257486</v>
      </c>
      <c r="H172" s="31">
        <v>-5.5532791492321305</v>
      </c>
      <c r="I172" s="31">
        <v>1.6428043478700523</v>
      </c>
      <c r="J172" s="29" t="s">
        <v>1460</v>
      </c>
      <c r="K172" s="32">
        <v>0</v>
      </c>
      <c r="L172" s="32">
        <v>0</v>
      </c>
      <c r="M172" s="31">
        <v>-0.50000000052480864</v>
      </c>
      <c r="N172" s="31">
        <v>0</v>
      </c>
      <c r="O172" s="31">
        <v>0</v>
      </c>
      <c r="P172" s="31">
        <v>0</v>
      </c>
      <c r="Q172" s="31">
        <v>0</v>
      </c>
      <c r="R172" s="31">
        <v>0.33000403511157295</v>
      </c>
      <c r="S172" s="31">
        <v>0</v>
      </c>
      <c r="T172" s="26" t="s">
        <v>46</v>
      </c>
      <c r="U172" s="27" t="s">
        <v>47</v>
      </c>
    </row>
    <row r="173" spans="1:21" x14ac:dyDescent="0.2">
      <c r="A173" s="31">
        <v>1.0792106345073318</v>
      </c>
      <c r="B173" s="46" t="s">
        <v>1461</v>
      </c>
      <c r="C173" s="32">
        <v>0.12874089183807375</v>
      </c>
      <c r="D173" s="32">
        <v>0.12874162775598647</v>
      </c>
      <c r="E173" s="31">
        <v>4.0150311369799851E-2</v>
      </c>
      <c r="F173" s="31">
        <v>1.3801599279376377E-2</v>
      </c>
      <c r="G173" s="31">
        <v>4.2048654305646131</v>
      </c>
      <c r="H173" s="31">
        <v>-2.4492685016807965</v>
      </c>
      <c r="I173" s="31">
        <v>0.63994862444019063</v>
      </c>
      <c r="J173" s="29" t="s">
        <v>1462</v>
      </c>
      <c r="K173" s="32">
        <v>0</v>
      </c>
      <c r="L173" s="32">
        <v>0</v>
      </c>
      <c r="M173" s="31">
        <v>-0.50000000052480864</v>
      </c>
      <c r="N173" s="31">
        <v>0</v>
      </c>
      <c r="O173" s="31">
        <v>0</v>
      </c>
      <c r="P173" s="31">
        <v>0</v>
      </c>
      <c r="Q173" s="31">
        <v>0</v>
      </c>
      <c r="R173" s="31">
        <v>9.9996905536493763E-2</v>
      </c>
      <c r="S173" s="31">
        <v>0</v>
      </c>
      <c r="T173" s="26" t="s">
        <v>46</v>
      </c>
      <c r="U173" s="27" t="s">
        <v>47</v>
      </c>
    </row>
    <row r="174" spans="1:21" x14ac:dyDescent="0.2">
      <c r="A174" s="31">
        <v>1.0963409620391942</v>
      </c>
      <c r="B174" s="46" t="s">
        <v>1463</v>
      </c>
      <c r="C174" s="32">
        <v>0.12958774051666261</v>
      </c>
      <c r="D174" s="32">
        <v>0.12958750695721921</v>
      </c>
      <c r="E174" s="31">
        <v>1.7784761603526822E-2</v>
      </c>
      <c r="F174" s="31">
        <v>6.9505538584780932E-3</v>
      </c>
      <c r="G174" s="31">
        <v>2.1315204562850907</v>
      </c>
      <c r="H174" s="31">
        <v>-1.2488628065871739</v>
      </c>
      <c r="I174" s="31">
        <v>0.28394529031574223</v>
      </c>
      <c r="J174" s="29" t="s">
        <v>1464</v>
      </c>
      <c r="K174" s="32">
        <v>0</v>
      </c>
      <c r="L174" s="32">
        <v>0</v>
      </c>
      <c r="M174" s="31">
        <v>-0.50000000052480864</v>
      </c>
      <c r="N174" s="31">
        <v>0</v>
      </c>
      <c r="O174" s="31">
        <v>0</v>
      </c>
      <c r="P174" s="31">
        <v>0</v>
      </c>
      <c r="Q174" s="31">
        <v>0</v>
      </c>
      <c r="R174" s="31">
        <v>4.0000497834710824E-2</v>
      </c>
      <c r="S174" s="31">
        <v>0</v>
      </c>
      <c r="T174" s="26" t="s">
        <v>46</v>
      </c>
      <c r="U174" s="27" t="s">
        <v>47</v>
      </c>
    </row>
    <row r="175" spans="1:21" x14ac:dyDescent="0.2">
      <c r="A175" s="31">
        <v>1.1134712895710566</v>
      </c>
      <c r="B175" s="46" t="s">
        <v>1465</v>
      </c>
      <c r="C175" s="32">
        <v>0.17047107706069947</v>
      </c>
      <c r="D175" s="32">
        <v>0.17047033915379273</v>
      </c>
      <c r="E175" s="31">
        <v>3.1542006575334236E-2</v>
      </c>
      <c r="F175" s="31">
        <v>8.5525526694133856E-3</v>
      </c>
      <c r="G175" s="31">
        <v>3.4502664637001885</v>
      </c>
      <c r="H175" s="31">
        <v>-2.6571253237088386</v>
      </c>
      <c r="I175" s="31">
        <v>0.50035955307341784</v>
      </c>
      <c r="J175" s="29" t="s">
        <v>1466</v>
      </c>
      <c r="K175" s="32">
        <v>0</v>
      </c>
      <c r="L175" s="32">
        <v>0</v>
      </c>
      <c r="M175" s="31">
        <v>-0.50000000052480864</v>
      </c>
      <c r="N175" s="31">
        <v>0</v>
      </c>
      <c r="O175" s="31">
        <v>0</v>
      </c>
      <c r="P175" s="31">
        <v>0</v>
      </c>
      <c r="Q175" s="31">
        <v>0</v>
      </c>
      <c r="R175" s="31">
        <v>0.10000254595584224</v>
      </c>
      <c r="S175" s="31">
        <v>0</v>
      </c>
      <c r="T175" s="26" t="s">
        <v>46</v>
      </c>
      <c r="U175" s="27" t="s">
        <v>47</v>
      </c>
    </row>
    <row r="176" spans="1:21" x14ac:dyDescent="0.2">
      <c r="A176" s="31">
        <v>1.130601617102919</v>
      </c>
      <c r="B176" s="46" t="s">
        <v>1467</v>
      </c>
      <c r="C176" s="32">
        <v>0.1517545768737793</v>
      </c>
      <c r="D176" s="32">
        <v>0.15175511831546784</v>
      </c>
      <c r="E176" s="31">
        <v>8.2814585414924258E-3</v>
      </c>
      <c r="F176" s="31">
        <v>3.0607859947259916E-3</v>
      </c>
      <c r="G176" s="31">
        <v>1.0992106765748428</v>
      </c>
      <c r="H176" s="31">
        <v>-0.75337990621457929</v>
      </c>
      <c r="I176" s="31">
        <v>0.13206648213417407</v>
      </c>
      <c r="J176" s="29" t="s">
        <v>1468</v>
      </c>
      <c r="K176" s="32">
        <v>0</v>
      </c>
      <c r="L176" s="32">
        <v>0</v>
      </c>
      <c r="M176" s="31">
        <v>-0.50000000052480864</v>
      </c>
      <c r="N176" s="31">
        <v>0</v>
      </c>
      <c r="O176" s="31">
        <v>0</v>
      </c>
      <c r="P176" s="31">
        <v>0</v>
      </c>
      <c r="Q176" s="31">
        <v>0</v>
      </c>
      <c r="R176" s="31">
        <v>1.9999404835288948E-2</v>
      </c>
      <c r="S176" s="31">
        <v>0</v>
      </c>
      <c r="T176" s="26" t="s">
        <v>46</v>
      </c>
      <c r="U176" s="27" t="s">
        <v>47</v>
      </c>
    </row>
    <row r="177" spans="1:21" x14ac:dyDescent="0.2">
      <c r="A177" s="31">
        <v>0.92503768672057007</v>
      </c>
      <c r="B177" s="28" t="s">
        <v>1469</v>
      </c>
      <c r="C177" s="32">
        <v>0</v>
      </c>
      <c r="D177" s="32">
        <v>0</v>
      </c>
      <c r="E177" s="31">
        <v>0.50000000052480864</v>
      </c>
      <c r="F177" s="31">
        <v>0</v>
      </c>
      <c r="G177" s="31">
        <v>0</v>
      </c>
      <c r="H177" s="31">
        <v>0</v>
      </c>
      <c r="I177" s="31">
        <v>0</v>
      </c>
      <c r="J177" s="47" t="s">
        <v>1470</v>
      </c>
      <c r="K177" s="32">
        <v>0.21905615901947018</v>
      </c>
      <c r="L177" s="32">
        <v>0.21905618502074131</v>
      </c>
      <c r="M177" s="31">
        <v>-0.15234990045134433</v>
      </c>
      <c r="N177" s="31">
        <v>2.0363689553693148E-2</v>
      </c>
      <c r="O177" s="31">
        <v>12.441536524968104</v>
      </c>
      <c r="P177" s="31">
        <v>-10.352731351737086</v>
      </c>
      <c r="Q177" s="31">
        <v>-3.0359921128899972</v>
      </c>
      <c r="R177" s="31">
        <v>0</v>
      </c>
      <c r="S177" s="31">
        <v>0.94999967650424533</v>
      </c>
      <c r="T177" s="27" t="s">
        <v>47</v>
      </c>
      <c r="U177" s="26" t="s">
        <v>46</v>
      </c>
    </row>
    <row r="178" spans="1:21" x14ac:dyDescent="0.2">
      <c r="A178" s="31">
        <v>0.94559407975880505</v>
      </c>
      <c r="B178" s="28" t="s">
        <v>1471</v>
      </c>
      <c r="C178" s="32">
        <v>0</v>
      </c>
      <c r="D178" s="32">
        <v>0</v>
      </c>
      <c r="E178" s="31">
        <v>0.50000000052480864</v>
      </c>
      <c r="F178" s="31">
        <v>0</v>
      </c>
      <c r="G178" s="31">
        <v>0</v>
      </c>
      <c r="H178" s="31">
        <v>0</v>
      </c>
      <c r="I178" s="31">
        <v>0</v>
      </c>
      <c r="J178" s="47" t="s">
        <v>1472</v>
      </c>
      <c r="K178" s="32">
        <v>0.21204390864372252</v>
      </c>
      <c r="L178" s="32">
        <v>0.21204341392194592</v>
      </c>
      <c r="M178" s="31">
        <v>-0.22025346088081399</v>
      </c>
      <c r="N178" s="31">
        <v>2.645812430859594E-2</v>
      </c>
      <c r="O178" s="31">
        <v>15.647571207011419</v>
      </c>
      <c r="P178" s="31">
        <v>-12.591309237502932</v>
      </c>
      <c r="Q178" s="31">
        <v>-4.4018068691820815</v>
      </c>
      <c r="R178" s="31">
        <v>0</v>
      </c>
      <c r="S178" s="31">
        <v>1.4700077411893813</v>
      </c>
      <c r="T178" s="27" t="s">
        <v>47</v>
      </c>
      <c r="U178" s="26" t="s">
        <v>46</v>
      </c>
    </row>
    <row r="179" spans="1:21" x14ac:dyDescent="0.2">
      <c r="A179" s="31">
        <v>0.95244621077155001</v>
      </c>
      <c r="B179" s="28" t="s">
        <v>1473</v>
      </c>
      <c r="C179" s="32">
        <v>0</v>
      </c>
      <c r="D179" s="32">
        <v>0</v>
      </c>
      <c r="E179" s="31">
        <v>0.50000000052480864</v>
      </c>
      <c r="F179" s="31">
        <v>0</v>
      </c>
      <c r="G179" s="31">
        <v>0</v>
      </c>
      <c r="H179" s="31">
        <v>0</v>
      </c>
      <c r="I179" s="31">
        <v>0</v>
      </c>
      <c r="J179" s="47" t="s">
        <v>1474</v>
      </c>
      <c r="K179" s="32">
        <v>0.21033018445968626</v>
      </c>
      <c r="L179" s="32">
        <v>0.21033006559476403</v>
      </c>
      <c r="M179" s="31">
        <v>-0.24757611680560654</v>
      </c>
      <c r="N179" s="31">
        <v>2.8460103222972963E-2</v>
      </c>
      <c r="O179" s="31">
        <v>16.695527933668856</v>
      </c>
      <c r="P179" s="31">
        <v>-13.320814070351142</v>
      </c>
      <c r="Q179" s="31">
        <v>-4.9540940146732382</v>
      </c>
      <c r="R179" s="31">
        <v>0</v>
      </c>
      <c r="S179" s="31">
        <v>1.7000019845123704</v>
      </c>
      <c r="T179" s="27" t="s">
        <v>47</v>
      </c>
      <c r="U179" s="26" t="s">
        <v>46</v>
      </c>
    </row>
    <row r="180" spans="1:21" x14ac:dyDescent="0.2">
      <c r="A180" s="31">
        <v>0.95929834178429496</v>
      </c>
      <c r="B180" s="28" t="s">
        <v>1475</v>
      </c>
      <c r="C180" s="32">
        <v>0</v>
      </c>
      <c r="D180" s="32">
        <v>0</v>
      </c>
      <c r="E180" s="31">
        <v>0.50000000052480864</v>
      </c>
      <c r="F180" s="31">
        <v>0</v>
      </c>
      <c r="G180" s="31">
        <v>0</v>
      </c>
      <c r="H180" s="31">
        <v>0</v>
      </c>
      <c r="I180" s="31">
        <v>0</v>
      </c>
      <c r="J180" s="47" t="s">
        <v>1476</v>
      </c>
      <c r="K180" s="32">
        <v>0.20930738580226893</v>
      </c>
      <c r="L180" s="32">
        <v>0.20930776366980811</v>
      </c>
      <c r="M180" s="31">
        <v>-0.27744221466372876</v>
      </c>
      <c r="N180" s="31">
        <v>3.0317155918755591E-2</v>
      </c>
      <c r="O180" s="31">
        <v>17.698444313629548</v>
      </c>
      <c r="P180" s="31">
        <v>-14.046472622524606</v>
      </c>
      <c r="Q180" s="31">
        <v>-5.5602270106021008</v>
      </c>
      <c r="R180" s="31">
        <v>0</v>
      </c>
      <c r="S180" s="31">
        <v>1.9699933123305717</v>
      </c>
      <c r="T180" s="27" t="s">
        <v>47</v>
      </c>
      <c r="U180" s="26" t="s">
        <v>46</v>
      </c>
    </row>
    <row r="181" spans="1:21" x14ac:dyDescent="0.2">
      <c r="A181" s="31">
        <v>0.96615047279703992</v>
      </c>
      <c r="B181" s="46" t="s">
        <v>1477</v>
      </c>
      <c r="C181" s="32">
        <v>0.12125085859298707</v>
      </c>
      <c r="D181" s="32">
        <v>0.1212508453296811</v>
      </c>
      <c r="E181" s="31">
        <v>0.7920681475018837</v>
      </c>
      <c r="F181" s="31">
        <v>4.4745392626167453E-2</v>
      </c>
      <c r="G181" s="31">
        <v>15.131961537721818</v>
      </c>
      <c r="H181" s="31">
        <v>-7.2581021623201227</v>
      </c>
      <c r="I181" s="31">
        <v>14.384389143056929</v>
      </c>
      <c r="J181" s="47" t="s">
        <v>1478</v>
      </c>
      <c r="K181" s="32">
        <v>0.20554377284049988</v>
      </c>
      <c r="L181" s="32">
        <v>0.20554371145680278</v>
      </c>
      <c r="M181" s="31">
        <v>-0.30705891109067929</v>
      </c>
      <c r="N181" s="31">
        <v>3.2364664261483891E-2</v>
      </c>
      <c r="O181" s="31">
        <v>18.553998323631824</v>
      </c>
      <c r="P181" s="31">
        <v>-14.45306873096199</v>
      </c>
      <c r="Q181" s="31">
        <v>-6.1589765086599364</v>
      </c>
      <c r="R181" s="31">
        <v>5.7500002006998301</v>
      </c>
      <c r="S181" s="31">
        <v>2.2200011389129592</v>
      </c>
      <c r="T181" s="26" t="s">
        <v>46</v>
      </c>
      <c r="U181" s="26" t="s">
        <v>46</v>
      </c>
    </row>
    <row r="182" spans="1:21" x14ac:dyDescent="0.2">
      <c r="A182" s="31">
        <v>0.97300260380978487</v>
      </c>
      <c r="B182" s="28" t="s">
        <v>1479</v>
      </c>
      <c r="C182" s="32">
        <v>0</v>
      </c>
      <c r="D182" s="32">
        <v>0</v>
      </c>
      <c r="E182" s="31">
        <v>0.50000000052480864</v>
      </c>
      <c r="F182" s="31">
        <v>0</v>
      </c>
      <c r="G182" s="31">
        <v>0</v>
      </c>
      <c r="H182" s="31">
        <v>0</v>
      </c>
      <c r="I182" s="31">
        <v>0</v>
      </c>
      <c r="J182" s="47" t="s">
        <v>1480</v>
      </c>
      <c r="K182" s="32">
        <v>0.20600438985824582</v>
      </c>
      <c r="L182" s="32">
        <v>0.20600391018908393</v>
      </c>
      <c r="M182" s="31">
        <v>-0.34147444154249285</v>
      </c>
      <c r="N182" s="31">
        <v>3.3734703104108518E-2</v>
      </c>
      <c r="O182" s="31">
        <v>19.382752503725875</v>
      </c>
      <c r="P182" s="31">
        <v>-15.125186735702334</v>
      </c>
      <c r="Q182" s="31">
        <v>-6.8638418530983722</v>
      </c>
      <c r="R182" s="31">
        <v>0</v>
      </c>
      <c r="S182" s="31">
        <v>2.5800092973071655</v>
      </c>
      <c r="T182" s="27" t="s">
        <v>47</v>
      </c>
      <c r="U182" s="26" t="s">
        <v>46</v>
      </c>
    </row>
    <row r="183" spans="1:21" x14ac:dyDescent="0.2">
      <c r="A183" s="31">
        <v>0.97985473482252983</v>
      </c>
      <c r="B183" s="46" t="s">
        <v>1481</v>
      </c>
      <c r="C183" s="32">
        <v>0.12686123108863831</v>
      </c>
      <c r="D183" s="32">
        <v>0.126861641500366</v>
      </c>
      <c r="E183" s="31">
        <v>0.68182774752719211</v>
      </c>
      <c r="F183" s="31">
        <v>5.3248302397787009E-2</v>
      </c>
      <c r="G183" s="31">
        <v>18.840688580911582</v>
      </c>
      <c r="H183" s="31">
        <v>-9.3447822038082045</v>
      </c>
      <c r="I183" s="31">
        <v>12.454350045250209</v>
      </c>
      <c r="J183" s="47" t="s">
        <v>1482</v>
      </c>
      <c r="K183" s="32">
        <v>0.20265704879760743</v>
      </c>
      <c r="L183" s="32">
        <v>0.20265741826012609</v>
      </c>
      <c r="M183" s="31">
        <v>-0.3751374198228824</v>
      </c>
      <c r="N183" s="31">
        <v>3.5434003133160072E-2</v>
      </c>
      <c r="O183" s="31">
        <v>20.028296684570087</v>
      </c>
      <c r="P183" s="31">
        <v>-15.364935276759116</v>
      </c>
      <c r="Q183" s="31">
        <v>-7.5490833035231448</v>
      </c>
      <c r="R183" s="31">
        <v>4.3999922675579342</v>
      </c>
      <c r="S183" s="31">
        <v>2.8999926002945449</v>
      </c>
      <c r="T183" s="26" t="s">
        <v>46</v>
      </c>
      <c r="U183" s="26" t="s">
        <v>46</v>
      </c>
    </row>
    <row r="184" spans="1:21" x14ac:dyDescent="0.2">
      <c r="A184" s="31">
        <v>0.98670686583527478</v>
      </c>
      <c r="B184" s="28" t="s">
        <v>1483</v>
      </c>
      <c r="C184" s="32">
        <v>0</v>
      </c>
      <c r="D184" s="32">
        <v>0</v>
      </c>
      <c r="E184" s="31">
        <v>0.50000000052480864</v>
      </c>
      <c r="F184" s="31">
        <v>0</v>
      </c>
      <c r="G184" s="31">
        <v>0</v>
      </c>
      <c r="H184" s="31">
        <v>0</v>
      </c>
      <c r="I184" s="31">
        <v>0</v>
      </c>
      <c r="J184" s="47" t="s">
        <v>1484</v>
      </c>
      <c r="K184" s="32">
        <v>0.20403603887557986</v>
      </c>
      <c r="L184" s="32">
        <v>0.20403584789117335</v>
      </c>
      <c r="M184" s="31">
        <v>-0.41206277699653904</v>
      </c>
      <c r="N184" s="31">
        <v>3.6119930742044074E-2</v>
      </c>
      <c r="O184" s="31">
        <v>20.554924004574147</v>
      </c>
      <c r="P184" s="31">
        <v>-15.867226783364824</v>
      </c>
      <c r="Q184" s="31">
        <v>-8.3137001077945438</v>
      </c>
      <c r="R184" s="31">
        <v>0</v>
      </c>
      <c r="S184" s="31">
        <v>3.3500039256699274</v>
      </c>
      <c r="T184" s="27" t="s">
        <v>47</v>
      </c>
      <c r="U184" s="26" t="s">
        <v>46</v>
      </c>
    </row>
    <row r="185" spans="1:21" x14ac:dyDescent="0.2">
      <c r="A185" s="31">
        <v>0.99355899684801974</v>
      </c>
      <c r="B185" s="28" t="s">
        <v>1485</v>
      </c>
      <c r="C185" s="32">
        <v>0</v>
      </c>
      <c r="D185" s="32">
        <v>0</v>
      </c>
      <c r="E185" s="31">
        <v>0.50000000052480864</v>
      </c>
      <c r="F185" s="31">
        <v>0</v>
      </c>
      <c r="G185" s="31">
        <v>0</v>
      </c>
      <c r="H185" s="31">
        <v>0</v>
      </c>
      <c r="I185" s="31">
        <v>0</v>
      </c>
      <c r="J185" s="47" t="s">
        <v>1486</v>
      </c>
      <c r="K185" s="32">
        <v>0.19640367211103435</v>
      </c>
      <c r="L185" s="32">
        <v>0.19640363942467065</v>
      </c>
      <c r="M185" s="31">
        <v>-0.44800931407869449</v>
      </c>
      <c r="N185" s="31">
        <v>3.8134709356693386E-2</v>
      </c>
      <c r="O185" s="31">
        <v>20.88969634727869</v>
      </c>
      <c r="P185" s="31">
        <v>-15.506511581888844</v>
      </c>
      <c r="Q185" s="31">
        <v>-9.0399669699924168</v>
      </c>
      <c r="R185" s="31">
        <v>0</v>
      </c>
      <c r="S185" s="31">
        <v>3.6500006828081988</v>
      </c>
      <c r="T185" s="27" t="s">
        <v>47</v>
      </c>
      <c r="U185" s="26" t="s">
        <v>46</v>
      </c>
    </row>
    <row r="186" spans="1:21" x14ac:dyDescent="0.2">
      <c r="A186" s="31">
        <v>1.0004111278607648</v>
      </c>
      <c r="B186" s="28" t="s">
        <v>1487</v>
      </c>
      <c r="C186" s="32">
        <v>0</v>
      </c>
      <c r="D186" s="32">
        <v>5.4893147539948376E-5</v>
      </c>
      <c r="E186" s="31">
        <v>0.50000000052480864</v>
      </c>
      <c r="F186" s="31">
        <v>0</v>
      </c>
      <c r="G186" s="31">
        <v>0</v>
      </c>
      <c r="H186" s="31">
        <v>0</v>
      </c>
      <c r="I186" s="31">
        <v>0</v>
      </c>
      <c r="J186" s="47" t="s">
        <v>1488</v>
      </c>
      <c r="K186" s="32">
        <v>0.19424864249229432</v>
      </c>
      <c r="L186" s="32">
        <v>0.19424855528513871</v>
      </c>
      <c r="M186" s="31">
        <v>-0.48660440900155533</v>
      </c>
      <c r="N186" s="31">
        <v>3.8866561069112404E-2</v>
      </c>
      <c r="O186" s="31">
        <v>21.056985162030198</v>
      </c>
      <c r="P186" s="31">
        <v>-15.444709244743564</v>
      </c>
      <c r="Q186" s="31">
        <v>-9.8364967982417859</v>
      </c>
      <c r="R186" s="31">
        <v>0</v>
      </c>
      <c r="S186" s="31">
        <v>4.100001836319775</v>
      </c>
      <c r="T186" s="27" t="s">
        <v>47</v>
      </c>
      <c r="U186" s="26" t="s">
        <v>46</v>
      </c>
    </row>
    <row r="187" spans="1:21" x14ac:dyDescent="0.2">
      <c r="A187" s="31">
        <v>1.0072632588735098</v>
      </c>
      <c r="B187" s="46" t="s">
        <v>1489</v>
      </c>
      <c r="C187" s="32">
        <v>0.13238291335105892</v>
      </c>
      <c r="D187" s="32">
        <v>0.13238270014790535</v>
      </c>
      <c r="E187" s="31">
        <v>0.45191389637827306</v>
      </c>
      <c r="F187" s="31">
        <v>5.6646999341949562E-2</v>
      </c>
      <c r="G187" s="31">
        <v>20.915628869328888</v>
      </c>
      <c r="H187" s="31">
        <v>-10.718410611185714</v>
      </c>
      <c r="I187" s="48">
        <v>8.3328032236511529</v>
      </c>
      <c r="J187" s="29" t="s">
        <v>1490</v>
      </c>
      <c r="K187" s="32">
        <v>0</v>
      </c>
      <c r="L187" s="32">
        <v>0</v>
      </c>
      <c r="M187" s="31">
        <v>-0.50000000052480864</v>
      </c>
      <c r="N187" s="31">
        <v>0</v>
      </c>
      <c r="O187" s="31">
        <v>0</v>
      </c>
      <c r="P187" s="31">
        <v>0</v>
      </c>
      <c r="Q187" s="31">
        <v>0</v>
      </c>
      <c r="R187" s="31">
        <v>2.3200044592779392</v>
      </c>
      <c r="S187" s="31">
        <v>0</v>
      </c>
      <c r="T187" s="26" t="s">
        <v>46</v>
      </c>
      <c r="U187" s="27" t="s">
        <v>47</v>
      </c>
    </row>
    <row r="188" spans="1:21" x14ac:dyDescent="0.2">
      <c r="A188" s="31">
        <v>1.0141153898862547</v>
      </c>
      <c r="B188" s="46" t="s">
        <v>1491</v>
      </c>
      <c r="C188" s="32">
        <v>5.9592773437499996E-3</v>
      </c>
      <c r="D188" s="32">
        <v>6.9744615071765321E-3</v>
      </c>
      <c r="E188" s="31">
        <v>1.0200451594499782E-10</v>
      </c>
      <c r="F188" s="31">
        <v>2.1002302998526179E-9</v>
      </c>
      <c r="G188" s="31">
        <v>3.4907809763676123E-8</v>
      </c>
      <c r="H188" s="31">
        <v>-8.2850663177555182E-10</v>
      </c>
      <c r="I188" s="31">
        <v>1.9488070189308657E-9</v>
      </c>
      <c r="J188" s="47" t="s">
        <v>1492</v>
      </c>
      <c r="K188" s="32">
        <v>0.19396683642864226</v>
      </c>
      <c r="L188" s="32">
        <v>0.19396646882033663</v>
      </c>
      <c r="M188" s="31">
        <v>-0.56367985826814482</v>
      </c>
      <c r="N188" s="31">
        <v>3.8447783955692559E-2</v>
      </c>
      <c r="O188" s="31">
        <v>20.799882355805149</v>
      </c>
      <c r="P188" s="31">
        <v>-15.203240446438377</v>
      </c>
      <c r="Q188" s="31">
        <v>-11.453545508298046</v>
      </c>
      <c r="R188" s="31">
        <v>4.8017395263428573E-12</v>
      </c>
      <c r="S188" s="31">
        <v>5.2000076462092446</v>
      </c>
      <c r="T188" s="26" t="s">
        <v>46</v>
      </c>
      <c r="U188" s="26" t="s">
        <v>46</v>
      </c>
    </row>
    <row r="189" spans="1:21" x14ac:dyDescent="0.2">
      <c r="A189" s="31">
        <v>1.0278196519117446</v>
      </c>
      <c r="B189" s="46" t="s">
        <v>1493</v>
      </c>
      <c r="C189" s="32">
        <v>1.18185546875E-2</v>
      </c>
      <c r="D189" s="32">
        <v>1.3882909772640546E-2</v>
      </c>
      <c r="E189" s="31">
        <v>1.1291345636266215E-10</v>
      </c>
      <c r="F189" s="31">
        <v>1.1695525933602168E-9</v>
      </c>
      <c r="G189" s="31">
        <v>3.8551937422030907E-8</v>
      </c>
      <c r="H189" s="31">
        <v>-1.7775480465607742E-9</v>
      </c>
      <c r="I189" s="31">
        <v>2.1565472124835049E-9</v>
      </c>
      <c r="J189" s="47" t="s">
        <v>1494</v>
      </c>
      <c r="K189" s="32">
        <v>0.19371077914237975</v>
      </c>
      <c r="L189" s="32">
        <v>0.19371043239096894</v>
      </c>
      <c r="M189" s="31">
        <v>-0.63761736122616341</v>
      </c>
      <c r="N189" s="31">
        <v>3.6652611234413532E-2</v>
      </c>
      <c r="O189" s="31">
        <v>19.802535079809275</v>
      </c>
      <c r="P189" s="31">
        <v>-14.417550963618696</v>
      </c>
      <c r="Q189" s="31">
        <v>-13.030271071268773</v>
      </c>
      <c r="R189" s="31">
        <v>1.0562296921485556E-11</v>
      </c>
      <c r="S189" s="31">
        <v>6.4500068665560484</v>
      </c>
      <c r="T189" s="26" t="s">
        <v>46</v>
      </c>
      <c r="U189" s="26" t="s">
        <v>46</v>
      </c>
    </row>
    <row r="190" spans="1:21" x14ac:dyDescent="0.2">
      <c r="A190" s="31">
        <v>1.0620803069754694</v>
      </c>
      <c r="B190" s="46" t="s">
        <v>1495</v>
      </c>
      <c r="C190" s="32">
        <v>0.1406897550344467</v>
      </c>
      <c r="D190" s="32">
        <v>0.14069012161265942</v>
      </c>
      <c r="E190" s="31">
        <v>0.12473386372366679</v>
      </c>
      <c r="F190" s="31">
        <v>2.7664188688773194E-2</v>
      </c>
      <c r="G190" s="31">
        <v>10.855316603738183</v>
      </c>
      <c r="H190" s="31">
        <v>-5.8720822513712569</v>
      </c>
      <c r="I190" s="31">
        <v>2.3248848107131153</v>
      </c>
      <c r="J190" s="29" t="s">
        <v>1496</v>
      </c>
      <c r="K190" s="32">
        <v>0</v>
      </c>
      <c r="L190" s="32">
        <v>0</v>
      </c>
      <c r="M190" s="31">
        <v>-0.50000000052480864</v>
      </c>
      <c r="N190" s="31">
        <v>0</v>
      </c>
      <c r="O190" s="31">
        <v>0</v>
      </c>
      <c r="P190" s="31">
        <v>0</v>
      </c>
      <c r="Q190" s="31">
        <v>0</v>
      </c>
      <c r="R190" s="31">
        <v>0.44999602067026601</v>
      </c>
      <c r="S190" s="31">
        <v>0</v>
      </c>
      <c r="T190" s="26" t="s">
        <v>46</v>
      </c>
      <c r="U190" s="27" t="s">
        <v>47</v>
      </c>
    </row>
    <row r="191" spans="1:21" x14ac:dyDescent="0.2">
      <c r="A191" s="31">
        <v>0.51390982595587231</v>
      </c>
      <c r="B191" s="28" t="s">
        <v>1497</v>
      </c>
      <c r="C191" s="32">
        <v>0</v>
      </c>
      <c r="D191" s="32">
        <v>3181.3954973127034</v>
      </c>
      <c r="E191" s="31">
        <v>0.50000000052480864</v>
      </c>
      <c r="F191" s="31">
        <v>0</v>
      </c>
      <c r="G191" s="31">
        <v>0</v>
      </c>
      <c r="H191" s="31">
        <v>0</v>
      </c>
      <c r="I191" s="31">
        <v>0</v>
      </c>
      <c r="J191" s="47" t="s">
        <v>1498</v>
      </c>
      <c r="K191" s="32">
        <v>0.37509375</v>
      </c>
      <c r="L191" s="32">
        <v>0.30528447956417942</v>
      </c>
      <c r="M191" s="31">
        <v>-1.6974036493033751E-6</v>
      </c>
      <c r="N191" s="31">
        <v>3.8640759879753202E-7</v>
      </c>
      <c r="O191" s="31">
        <v>4.6549736374327583E-4</v>
      </c>
      <c r="P191" s="31">
        <v>-5.7836729638018373E-4</v>
      </c>
      <c r="Q191" s="31">
        <v>-3.846076955145243E-5</v>
      </c>
      <c r="R191" s="31">
        <v>0</v>
      </c>
      <c r="S191" s="31">
        <v>7.371849300663591E-6</v>
      </c>
      <c r="T191" s="27" t="s">
        <v>47</v>
      </c>
      <c r="U191" s="26" t="s">
        <v>46</v>
      </c>
    </row>
    <row r="192" spans="1:21" x14ac:dyDescent="0.2">
      <c r="A192" s="31">
        <v>0.54817048101959709</v>
      </c>
      <c r="B192" s="28" t="s">
        <v>1499</v>
      </c>
      <c r="C192" s="32">
        <v>0</v>
      </c>
      <c r="D192" s="32">
        <v>79.365257851238511</v>
      </c>
      <c r="E192" s="31">
        <v>0.50000000052480864</v>
      </c>
      <c r="F192" s="31">
        <v>0</v>
      </c>
      <c r="G192" s="31">
        <v>0</v>
      </c>
      <c r="H192" s="31">
        <v>0</v>
      </c>
      <c r="I192" s="31">
        <v>0</v>
      </c>
      <c r="J192" s="47" t="s">
        <v>1500</v>
      </c>
      <c r="K192" s="32">
        <v>0</v>
      </c>
      <c r="L192" s="32">
        <v>0.29370094322157464</v>
      </c>
      <c r="M192" s="31">
        <v>-0.50000000052480864</v>
      </c>
      <c r="N192" s="31">
        <v>0</v>
      </c>
      <c r="O192" s="31">
        <v>0</v>
      </c>
      <c r="P192" s="31">
        <v>0</v>
      </c>
      <c r="Q192" s="31">
        <v>0</v>
      </c>
      <c r="R192" s="31">
        <v>0</v>
      </c>
      <c r="S192" s="31">
        <v>0</v>
      </c>
      <c r="T192" s="27" t="s">
        <v>47</v>
      </c>
      <c r="U192" s="26" t="s">
        <v>46</v>
      </c>
    </row>
    <row r="193" spans="1:21" x14ac:dyDescent="0.2">
      <c r="A193" s="31">
        <v>0.58243113608332198</v>
      </c>
      <c r="B193" s="28" t="s">
        <v>1501</v>
      </c>
      <c r="C193" s="32">
        <v>0</v>
      </c>
      <c r="D193" s="32">
        <v>0</v>
      </c>
      <c r="E193" s="31">
        <v>0.50000000052480864</v>
      </c>
      <c r="F193" s="31">
        <v>0</v>
      </c>
      <c r="G193" s="31">
        <v>0</v>
      </c>
      <c r="H193" s="31">
        <v>0</v>
      </c>
      <c r="I193" s="31">
        <v>0</v>
      </c>
      <c r="J193" s="47" t="s">
        <v>1502</v>
      </c>
      <c r="K193" s="32">
        <v>0.187596875</v>
      </c>
      <c r="L193" s="32">
        <v>0.25003119968572801</v>
      </c>
      <c r="M193" s="31">
        <v>-4.3187675657918589E-14</v>
      </c>
      <c r="N193" s="31">
        <v>3.0571660186107529E-14</v>
      </c>
      <c r="O193" s="31">
        <v>1.8419437477783006E-11</v>
      </c>
      <c r="P193" s="31">
        <v>-1.1442850804267107E-11</v>
      </c>
      <c r="Q193" s="31">
        <v>-9.5878555760285153E-13</v>
      </c>
      <c r="R193" s="31">
        <v>0</v>
      </c>
      <c r="S193" s="31">
        <v>5.2513549064769904E-14</v>
      </c>
      <c r="T193" s="27" t="s">
        <v>47</v>
      </c>
      <c r="U193" s="26" t="s">
        <v>46</v>
      </c>
    </row>
    <row r="194" spans="1:21" x14ac:dyDescent="0.2">
      <c r="A194" s="31">
        <v>0.61669179114704675</v>
      </c>
      <c r="B194" s="28" t="s">
        <v>1503</v>
      </c>
      <c r="C194" s="32">
        <v>0</v>
      </c>
      <c r="D194" s="32">
        <v>0</v>
      </c>
      <c r="E194" s="31">
        <v>0.50000000052480864</v>
      </c>
      <c r="F194" s="31">
        <v>0</v>
      </c>
      <c r="G194" s="31">
        <v>0</v>
      </c>
      <c r="H194" s="31">
        <v>0</v>
      </c>
      <c r="I194" s="31">
        <v>0</v>
      </c>
      <c r="J194" s="47" t="s">
        <v>1504</v>
      </c>
      <c r="K194" s="32">
        <v>0</v>
      </c>
      <c r="L194" s="32">
        <v>0.22709239781530338</v>
      </c>
      <c r="M194" s="31">
        <v>-0.50000000052480864</v>
      </c>
      <c r="N194" s="31">
        <v>0</v>
      </c>
      <c r="O194" s="31">
        <v>0</v>
      </c>
      <c r="P194" s="31">
        <v>0</v>
      </c>
      <c r="Q194" s="31">
        <v>0</v>
      </c>
      <c r="R194" s="31">
        <v>0</v>
      </c>
      <c r="S194" s="31">
        <v>0</v>
      </c>
      <c r="T194" s="27" t="s">
        <v>47</v>
      </c>
      <c r="U194" s="26" t="s">
        <v>46</v>
      </c>
    </row>
    <row r="195" spans="1:21" x14ac:dyDescent="0.2">
      <c r="A195" s="31">
        <v>0.65095244621077153</v>
      </c>
      <c r="B195" s="28" t="s">
        <v>1505</v>
      </c>
      <c r="C195" s="32">
        <v>0</v>
      </c>
      <c r="D195" s="32">
        <v>0</v>
      </c>
      <c r="E195" s="31">
        <v>0.50000000052480864</v>
      </c>
      <c r="F195" s="31">
        <v>0</v>
      </c>
      <c r="G195" s="31">
        <v>0</v>
      </c>
      <c r="H195" s="31">
        <v>0</v>
      </c>
      <c r="I195" s="31">
        <v>0</v>
      </c>
      <c r="J195" s="47" t="s">
        <v>1506</v>
      </c>
      <c r="K195" s="32">
        <v>0.187596875</v>
      </c>
      <c r="L195" s="32">
        <v>0.20414945991342584</v>
      </c>
      <c r="M195" s="31">
        <v>-1.4783889668024131E-9</v>
      </c>
      <c r="N195" s="31">
        <v>8.4461542351165415E-10</v>
      </c>
      <c r="O195" s="31">
        <v>5.0888113015248495E-7</v>
      </c>
      <c r="P195" s="31">
        <v>-3.1603821083829732E-7</v>
      </c>
      <c r="Q195" s="31">
        <v>-3.2912729972543187E-8</v>
      </c>
      <c r="R195" s="31">
        <v>0</v>
      </c>
      <c r="S195" s="31">
        <v>2.5361662769896043E-9</v>
      </c>
      <c r="T195" s="27" t="s">
        <v>47</v>
      </c>
      <c r="U195" s="26" t="s">
        <v>46</v>
      </c>
    </row>
    <row r="196" spans="1:21" x14ac:dyDescent="0.2">
      <c r="A196" s="31">
        <v>0.68521310127449642</v>
      </c>
      <c r="B196" s="28" t="s">
        <v>1507</v>
      </c>
      <c r="C196" s="32">
        <v>0</v>
      </c>
      <c r="D196" s="32">
        <v>0</v>
      </c>
      <c r="E196" s="31">
        <v>0.50000000052480864</v>
      </c>
      <c r="F196" s="31">
        <v>0</v>
      </c>
      <c r="G196" s="31">
        <v>0</v>
      </c>
      <c r="H196" s="31">
        <v>0</v>
      </c>
      <c r="I196" s="31">
        <v>0</v>
      </c>
      <c r="J196" s="47" t="s">
        <v>1508</v>
      </c>
      <c r="K196" s="32">
        <v>0.39381597213745112</v>
      </c>
      <c r="L196" s="32">
        <v>0.39382572478451139</v>
      </c>
      <c r="M196" s="31">
        <v>-5.3759633357880476E-3</v>
      </c>
      <c r="N196" s="31">
        <v>6.9106442695309432E-4</v>
      </c>
      <c r="O196" s="31">
        <v>0.87406474512926202</v>
      </c>
      <c r="P196" s="31">
        <v>-1.1394667551681017</v>
      </c>
      <c r="Q196" s="31">
        <v>-0.12433769012337963</v>
      </c>
      <c r="R196" s="31">
        <v>0</v>
      </c>
      <c r="S196" s="31">
        <v>3.999147490949051E-2</v>
      </c>
      <c r="T196" s="27" t="s">
        <v>47</v>
      </c>
      <c r="U196" s="26" t="s">
        <v>46</v>
      </c>
    </row>
    <row r="197" spans="1:21" x14ac:dyDescent="0.2">
      <c r="A197" s="31">
        <v>0.71947375633822119</v>
      </c>
      <c r="B197" s="28" t="s">
        <v>1509</v>
      </c>
      <c r="C197" s="32">
        <v>0</v>
      </c>
      <c r="D197" s="32">
        <v>0</v>
      </c>
      <c r="E197" s="31">
        <v>0.50000000052480864</v>
      </c>
      <c r="F197" s="31">
        <v>0</v>
      </c>
      <c r="G197" s="31">
        <v>0</v>
      </c>
      <c r="H197" s="31">
        <v>0</v>
      </c>
      <c r="I197" s="31">
        <v>0</v>
      </c>
      <c r="J197" s="47" t="s">
        <v>1510</v>
      </c>
      <c r="K197" s="32">
        <v>0.36538932189941409</v>
      </c>
      <c r="L197" s="32">
        <v>0.36538368461389964</v>
      </c>
      <c r="M197" s="31">
        <v>-8.3381474780374054E-3</v>
      </c>
      <c r="N197" s="31">
        <v>1.0977612151929893E-3</v>
      </c>
      <c r="O197" s="31">
        <v>1.2882361257593271</v>
      </c>
      <c r="P197" s="31">
        <v>-1.5578309084633988</v>
      </c>
      <c r="Q197" s="31">
        <v>-0.19254444016475636</v>
      </c>
      <c r="R197" s="31">
        <v>0</v>
      </c>
      <c r="S197" s="31">
        <v>6.000726185285965E-2</v>
      </c>
      <c r="T197" s="27" t="s">
        <v>47</v>
      </c>
      <c r="U197" s="26" t="s">
        <v>46</v>
      </c>
    </row>
    <row r="198" spans="1:21" x14ac:dyDescent="0.2">
      <c r="A198" s="31">
        <v>0.75373441140194597</v>
      </c>
      <c r="B198" s="28" t="s">
        <v>1511</v>
      </c>
      <c r="C198" s="32">
        <v>0</v>
      </c>
      <c r="D198" s="32">
        <v>0</v>
      </c>
      <c r="E198" s="31">
        <v>0.50000000052480864</v>
      </c>
      <c r="F198" s="31">
        <v>0</v>
      </c>
      <c r="G198" s="31">
        <v>0</v>
      </c>
      <c r="H198" s="31">
        <v>0</v>
      </c>
      <c r="I198" s="31">
        <v>0</v>
      </c>
      <c r="J198" s="47" t="s">
        <v>1512</v>
      </c>
      <c r="K198" s="32">
        <v>0.34221542224884027</v>
      </c>
      <c r="L198" s="32">
        <v>0.34221388613166881</v>
      </c>
      <c r="M198" s="31">
        <v>-1.4028096408262192E-2</v>
      </c>
      <c r="N198" s="31">
        <v>1.8432953558104037E-3</v>
      </c>
      <c r="O198" s="31">
        <v>2.0259384459909766</v>
      </c>
      <c r="P198" s="31">
        <v>-2.2939226093793113</v>
      </c>
      <c r="Q198" s="31">
        <v>-0.32379368090287497</v>
      </c>
      <c r="R198" s="31">
        <v>0</v>
      </c>
      <c r="S198" s="31">
        <v>0.10000311204719803</v>
      </c>
      <c r="T198" s="27" t="s">
        <v>47</v>
      </c>
      <c r="U198" s="26" t="s">
        <v>46</v>
      </c>
    </row>
    <row r="199" spans="1:21" x14ac:dyDescent="0.2">
      <c r="A199" s="31">
        <v>0.78799506646567086</v>
      </c>
      <c r="B199" s="28" t="s">
        <v>1513</v>
      </c>
      <c r="C199" s="32">
        <v>0</v>
      </c>
      <c r="D199" s="32">
        <v>0</v>
      </c>
      <c r="E199" s="31">
        <v>0.50000000052480864</v>
      </c>
      <c r="F199" s="31">
        <v>0</v>
      </c>
      <c r="G199" s="31">
        <v>0</v>
      </c>
      <c r="H199" s="31">
        <v>0</v>
      </c>
      <c r="I199" s="31">
        <v>0</v>
      </c>
      <c r="J199" s="47" t="s">
        <v>1514</v>
      </c>
      <c r="K199" s="32">
        <v>0.29904330549240116</v>
      </c>
      <c r="L199" s="32">
        <v>0.29904465987419743</v>
      </c>
      <c r="M199" s="31">
        <v>-1.7307429002495711E-2</v>
      </c>
      <c r="N199" s="31">
        <v>2.5260980224611289E-3</v>
      </c>
      <c r="O199" s="31">
        <v>2.4261409214888636</v>
      </c>
      <c r="P199" s="31">
        <v>-2.3996131195187815</v>
      </c>
      <c r="Q199" s="31">
        <v>-0.39746851809862199</v>
      </c>
      <c r="R199" s="31">
        <v>0</v>
      </c>
      <c r="S199" s="31">
        <v>0.109996714047499</v>
      </c>
      <c r="T199" s="27" t="s">
        <v>47</v>
      </c>
      <c r="U199" s="26" t="s">
        <v>46</v>
      </c>
    </row>
    <row r="200" spans="1:21" x14ac:dyDescent="0.2">
      <c r="A200" s="31">
        <v>0.82225572152939563</v>
      </c>
      <c r="B200" s="28" t="s">
        <v>1515</v>
      </c>
      <c r="C200" s="32">
        <v>0</v>
      </c>
      <c r="D200" s="32">
        <v>0</v>
      </c>
      <c r="E200" s="31">
        <v>0.50000000052480864</v>
      </c>
      <c r="F200" s="31">
        <v>0</v>
      </c>
      <c r="G200" s="31">
        <v>0</v>
      </c>
      <c r="H200" s="31">
        <v>0</v>
      </c>
      <c r="I200" s="31">
        <v>0</v>
      </c>
      <c r="J200" s="47" t="s">
        <v>1516</v>
      </c>
      <c r="K200" s="32">
        <v>0.2908494723320007</v>
      </c>
      <c r="L200" s="32">
        <v>0.29084787107670684</v>
      </c>
      <c r="M200" s="31">
        <v>-3.6541864287555459E-2</v>
      </c>
      <c r="N200" s="31">
        <v>4.8564620660861797E-3</v>
      </c>
      <c r="O200" s="31">
        <v>4.5364906561735765</v>
      </c>
      <c r="P200" s="31">
        <v>-4.3621309710177645</v>
      </c>
      <c r="Q200" s="31">
        <v>-0.84187062336804908</v>
      </c>
      <c r="R200" s="31">
        <v>0</v>
      </c>
      <c r="S200" s="31">
        <v>0.25000726401952544</v>
      </c>
      <c r="T200" s="27" t="s">
        <v>47</v>
      </c>
      <c r="U200" s="26" t="s">
        <v>46</v>
      </c>
    </row>
    <row r="201" spans="1:21" x14ac:dyDescent="0.2">
      <c r="A201" s="31">
        <v>0.85651637659312052</v>
      </c>
      <c r="B201" s="46" t="s">
        <v>1517</v>
      </c>
      <c r="C201" s="32">
        <v>0.35549893040657043</v>
      </c>
      <c r="D201" s="32">
        <v>0.35549859707105891</v>
      </c>
      <c r="E201" s="31">
        <v>0.88365902475203928</v>
      </c>
      <c r="F201" s="31">
        <v>9.7141112950665468E-3</v>
      </c>
      <c r="G201" s="31">
        <v>11.091061487345211</v>
      </c>
      <c r="H201" s="31">
        <v>-13.31924608811099</v>
      </c>
      <c r="I201" s="31">
        <v>16.098911101279654</v>
      </c>
      <c r="J201" s="47" t="s">
        <v>1518</v>
      </c>
      <c r="K201" s="32">
        <v>0.26661987280845645</v>
      </c>
      <c r="L201" s="32">
        <v>0.26661850832279327</v>
      </c>
      <c r="M201" s="31">
        <v>-6.0443084446746065E-2</v>
      </c>
      <c r="N201" s="31">
        <v>7.9293643954179201E-3</v>
      </c>
      <c r="O201" s="31">
        <v>6.7898883496968807</v>
      </c>
      <c r="P201" s="31">
        <v>-5.9814057662445901</v>
      </c>
      <c r="Q201" s="31">
        <v>-1.3919877042111071</v>
      </c>
      <c r="R201" s="31">
        <v>22.200003697042476</v>
      </c>
      <c r="S201" s="31">
        <v>0.41000926465209286</v>
      </c>
      <c r="T201" s="26" t="s">
        <v>46</v>
      </c>
      <c r="U201" s="26" t="s">
        <v>46</v>
      </c>
    </row>
    <row r="202" spans="1:21" x14ac:dyDescent="0.2">
      <c r="A202" s="31">
        <v>0.8907770316568453</v>
      </c>
      <c r="B202" s="46" t="s">
        <v>1519</v>
      </c>
      <c r="C202" s="32">
        <v>0</v>
      </c>
      <c r="D202" s="32">
        <v>143.4042034175983</v>
      </c>
      <c r="E202" s="31">
        <v>0.50000000052480864</v>
      </c>
      <c r="F202" s="31">
        <v>0</v>
      </c>
      <c r="G202" s="31">
        <v>0</v>
      </c>
      <c r="H202" s="31">
        <v>0</v>
      </c>
      <c r="I202" s="31">
        <v>0</v>
      </c>
      <c r="J202" s="47" t="s">
        <v>1520</v>
      </c>
      <c r="K202" s="32">
        <v>0.24442585718631749</v>
      </c>
      <c r="L202" s="32">
        <v>0.24442546552832359</v>
      </c>
      <c r="M202" s="31">
        <v>-0.10209990508151257</v>
      </c>
      <c r="N202" s="31">
        <v>1.2862883824186627E-2</v>
      </c>
      <c r="O202" s="31">
        <v>10.09757839809938</v>
      </c>
      <c r="P202" s="31">
        <v>-8.147849626514482</v>
      </c>
      <c r="Q202" s="31">
        <v>-2.3524506221473094</v>
      </c>
      <c r="R202" s="31">
        <v>0</v>
      </c>
      <c r="S202" s="31">
        <v>0.70000395479256139</v>
      </c>
      <c r="T202" s="26" t="s">
        <v>46</v>
      </c>
      <c r="U202" s="26" t="s">
        <v>46</v>
      </c>
    </row>
    <row r="203" spans="1:21" x14ac:dyDescent="0.2">
      <c r="A203" s="31">
        <v>0.92503768672057007</v>
      </c>
      <c r="B203" s="46" t="s">
        <v>1521</v>
      </c>
      <c r="C203" s="32">
        <v>0.25597418384552006</v>
      </c>
      <c r="D203" s="32">
        <v>0.25597442619370114</v>
      </c>
      <c r="E203" s="31">
        <v>0.79873143411545711</v>
      </c>
      <c r="F203" s="31">
        <v>1.9372497851743543E-2</v>
      </c>
      <c r="G203" s="31">
        <v>15.92624997478994</v>
      </c>
      <c r="H203" s="31">
        <v>-13.756402059584747</v>
      </c>
      <c r="I203" s="31">
        <v>15.662464713819833</v>
      </c>
      <c r="J203" s="47" t="s">
        <v>1522</v>
      </c>
      <c r="K203" s="32">
        <v>0.22566930334568025</v>
      </c>
      <c r="L203" s="32">
        <v>0.22566904817857267</v>
      </c>
      <c r="M203" s="31">
        <v>-0.17439128272087434</v>
      </c>
      <c r="N203" s="31">
        <v>2.0111394454314077E-2</v>
      </c>
      <c r="O203" s="31">
        <v>14.576270259869199</v>
      </c>
      <c r="P203" s="31">
        <v>-10.845601924697954</v>
      </c>
      <c r="Q203" s="31">
        <v>-4.0262905137695686</v>
      </c>
      <c r="R203" s="31">
        <v>12.699996140301124</v>
      </c>
      <c r="S203" s="31">
        <v>1.2500037193830509</v>
      </c>
      <c r="T203" s="26" t="s">
        <v>46</v>
      </c>
      <c r="U203" s="26" t="s">
        <v>46</v>
      </c>
    </row>
    <row r="204" spans="1:21" x14ac:dyDescent="0.2">
      <c r="A204" s="31">
        <v>0.95929834178429496</v>
      </c>
      <c r="B204" s="46" t="s">
        <v>1523</v>
      </c>
      <c r="C204" s="32">
        <v>0.13561295442581178</v>
      </c>
      <c r="D204" s="32">
        <v>0.13561239487075641</v>
      </c>
      <c r="E204" s="31">
        <v>0.7944556313437543</v>
      </c>
      <c r="F204" s="31">
        <v>3.7027773931836989E-2</v>
      </c>
      <c r="G204" s="31">
        <v>16.127257515417163</v>
      </c>
      <c r="H204" s="31">
        <v>-7.502645780873757</v>
      </c>
      <c r="I204" s="31">
        <v>16.442968992928442</v>
      </c>
      <c r="J204" s="47" t="s">
        <v>1524</v>
      </c>
      <c r="K204" s="32">
        <v>0.21180644769668577</v>
      </c>
      <c r="L204" s="32">
        <v>0.21180598097098574</v>
      </c>
      <c r="M204" s="31">
        <v>-0.29097007899770178</v>
      </c>
      <c r="N204" s="31">
        <v>2.856181833268636E-2</v>
      </c>
      <c r="O204" s="31">
        <v>19.429282758259895</v>
      </c>
      <c r="P204" s="31">
        <v>-13.542359251753195</v>
      </c>
      <c r="Q204" s="31">
        <v>-6.7486474911779215</v>
      </c>
      <c r="R204" s="31">
        <v>6.9000090240766951</v>
      </c>
      <c r="S204" s="31">
        <v>2.2900090681429925</v>
      </c>
      <c r="T204" s="26" t="s">
        <v>46</v>
      </c>
      <c r="U204" s="26" t="s">
        <v>46</v>
      </c>
    </row>
    <row r="205" spans="1:21" x14ac:dyDescent="0.2">
      <c r="A205" s="31">
        <v>0.99355899684801974</v>
      </c>
      <c r="B205" s="46" t="s">
        <v>1525</v>
      </c>
      <c r="C205" s="32">
        <v>0.15011094658374788</v>
      </c>
      <c r="D205" s="32">
        <v>0.15011095157933754</v>
      </c>
      <c r="E205" s="31">
        <v>0.55801947239815874</v>
      </c>
      <c r="F205" s="31">
        <v>4.6398753247607318E-2</v>
      </c>
      <c r="G205" s="31">
        <v>22.369198032367709</v>
      </c>
      <c r="H205" s="31">
        <v>-11.312297732204081</v>
      </c>
      <c r="I205" s="31">
        <v>11.692142793380842</v>
      </c>
      <c r="J205" s="47" t="s">
        <v>1526</v>
      </c>
      <c r="K205" s="32">
        <v>0.20546509602069857</v>
      </c>
      <c r="L205" s="32">
        <v>0.20546479265340906</v>
      </c>
      <c r="M205" s="31">
        <v>-0.45017099415971018</v>
      </c>
      <c r="N205" s="31">
        <v>3.3993881708632954E-2</v>
      </c>
      <c r="O205" s="31">
        <v>22.432132107220426</v>
      </c>
      <c r="P205" s="31">
        <v>-15.121890284539562</v>
      </c>
      <c r="Q205" s="31">
        <v>-10.532628596852575</v>
      </c>
      <c r="R205" s="31">
        <v>3.899999888252637</v>
      </c>
      <c r="S205" s="31">
        <v>4.1500068051750896</v>
      </c>
      <c r="T205" s="26" t="s">
        <v>46</v>
      </c>
      <c r="U205" s="26" t="s">
        <v>46</v>
      </c>
    </row>
    <row r="206" spans="1:21" x14ac:dyDescent="0.2">
      <c r="A206" s="31">
        <v>1.0278196519117446</v>
      </c>
      <c r="B206" s="46" t="s">
        <v>1527</v>
      </c>
      <c r="C206" s="32">
        <v>0.14958452713489534</v>
      </c>
      <c r="D206" s="32">
        <v>0.14958475324021317</v>
      </c>
      <c r="E206" s="31">
        <v>0.33091918100433138</v>
      </c>
      <c r="F206" s="31">
        <v>4.2767872035265032E-2</v>
      </c>
      <c r="G206" s="31">
        <v>20.546414938980316</v>
      </c>
      <c r="H206" s="31">
        <v>-10.297792787335682</v>
      </c>
      <c r="I206" s="31">
        <v>7.0125600158748735</v>
      </c>
      <c r="J206" s="47" t="s">
        <v>1528</v>
      </c>
      <c r="K206" s="32">
        <v>0.20636630322933192</v>
      </c>
      <c r="L206" s="32">
        <v>0.20636636647288154</v>
      </c>
      <c r="M206" s="31">
        <v>-0.61715448821969909</v>
      </c>
      <c r="N206" s="31">
        <v>3.2630203900370545E-2</v>
      </c>
      <c r="O206" s="31">
        <v>21.626702782488511</v>
      </c>
      <c r="P206" s="31">
        <v>-14.575188393683261</v>
      </c>
      <c r="Q206" s="31">
        <v>-14.637166626993473</v>
      </c>
      <c r="R206" s="31">
        <v>1.7899953543455567</v>
      </c>
      <c r="S206" s="31">
        <v>6.9999986322505325</v>
      </c>
      <c r="T206" s="26" t="s">
        <v>46</v>
      </c>
      <c r="U206" s="26" t="s">
        <v>46</v>
      </c>
    </row>
    <row r="207" spans="1:21" x14ac:dyDescent="0.2">
      <c r="A207" s="31">
        <v>1.0620803069754694</v>
      </c>
      <c r="B207" s="46" t="s">
        <v>1529</v>
      </c>
      <c r="C207" s="32">
        <v>0.14694956891536709</v>
      </c>
      <c r="D207" s="32">
        <v>0.146949956461046</v>
      </c>
      <c r="E207" s="31">
        <v>0.15365814425769941</v>
      </c>
      <c r="F207" s="31">
        <v>2.8449231888994789E-2</v>
      </c>
      <c r="G207" s="31">
        <v>13.426740683199297</v>
      </c>
      <c r="H207" s="31">
        <v>-6.5923130923553224</v>
      </c>
      <c r="I207" s="31">
        <v>3.2835133494614808</v>
      </c>
      <c r="J207" s="47" t="s">
        <v>1530</v>
      </c>
      <c r="K207" s="32">
        <v>0.19811238958835603</v>
      </c>
      <c r="L207" s="32">
        <v>0.19811228060718211</v>
      </c>
      <c r="M207" s="31">
        <v>-0.77032769688762837</v>
      </c>
      <c r="N207" s="31">
        <v>2.7023801070962191E-2</v>
      </c>
      <c r="O207" s="31">
        <v>17.194510288582808</v>
      </c>
      <c r="P207" s="31">
        <v>-11.012451464810573</v>
      </c>
      <c r="Q207" s="31">
        <v>-18.528260856383977</v>
      </c>
      <c r="R207" s="31">
        <v>0.64999479651711667</v>
      </c>
      <c r="S207" s="31">
        <v>10.450001873877612</v>
      </c>
      <c r="T207" s="26" t="s">
        <v>46</v>
      </c>
      <c r="U207" s="26" t="s">
        <v>46</v>
      </c>
    </row>
    <row r="208" spans="1:21" x14ac:dyDescent="0.2">
      <c r="A208" s="31">
        <v>1.0963409620391942</v>
      </c>
      <c r="B208" s="46" t="s">
        <v>1531</v>
      </c>
      <c r="C208" s="32">
        <v>0.15140553789138794</v>
      </c>
      <c r="D208" s="32">
        <v>0.15140566247238543</v>
      </c>
      <c r="E208" s="31">
        <v>6.3117573098489754E-2</v>
      </c>
      <c r="F208" s="31">
        <v>1.4443356258930829E-2</v>
      </c>
      <c r="G208" s="31">
        <v>7.0233065348425896</v>
      </c>
      <c r="H208" s="31">
        <v>-3.546559942315032</v>
      </c>
      <c r="I208" s="31">
        <v>1.3543346166226302</v>
      </c>
      <c r="J208" s="47" t="s">
        <v>1532</v>
      </c>
      <c r="K208" s="32">
        <v>0.23102504904270177</v>
      </c>
      <c r="L208" s="32">
        <v>0.23102549905203151</v>
      </c>
      <c r="M208" s="31">
        <v>-0.8356013156591513</v>
      </c>
      <c r="N208" s="31">
        <v>1.8915041466114026E-2</v>
      </c>
      <c r="O208" s="31">
        <v>14.034537603292868</v>
      </c>
      <c r="P208" s="31">
        <v>-10.435673233697942</v>
      </c>
      <c r="Q208" s="31">
        <v>-20.665914629257806</v>
      </c>
      <c r="R208" s="31">
        <v>0.2299991250285931</v>
      </c>
      <c r="S208" s="31">
        <v>15.099993684320733</v>
      </c>
      <c r="T208" s="26" t="s">
        <v>46</v>
      </c>
      <c r="U208" s="26" t="s">
        <v>46</v>
      </c>
    </row>
    <row r="209" spans="1:21" x14ac:dyDescent="0.2">
      <c r="A209" s="31">
        <v>1.130601617102919</v>
      </c>
      <c r="B209" s="46" t="s">
        <v>1533</v>
      </c>
      <c r="C209" s="32">
        <v>0.15741930789947511</v>
      </c>
      <c r="D209" s="32">
        <v>0.15742233142950532</v>
      </c>
      <c r="E209" s="31">
        <v>2.4316252828526119E-2</v>
      </c>
      <c r="F209" s="31">
        <v>6.4005940681779241E-3</v>
      </c>
      <c r="G209" s="31">
        <v>3.2360112519878235</v>
      </c>
      <c r="H209" s="31">
        <v>-1.6970765385418161</v>
      </c>
      <c r="I209" s="31">
        <v>0.52306134850159514</v>
      </c>
      <c r="J209" s="47" t="s">
        <v>1534</v>
      </c>
      <c r="K209" s="32">
        <v>0</v>
      </c>
      <c r="L209" s="32">
        <v>0</v>
      </c>
      <c r="M209" s="31">
        <v>-0.50000000052480864</v>
      </c>
      <c r="N209" s="31">
        <v>0</v>
      </c>
      <c r="O209" s="31">
        <v>0</v>
      </c>
      <c r="P209" s="31">
        <v>0</v>
      </c>
      <c r="Q209" s="31">
        <v>0</v>
      </c>
      <c r="R209" s="31">
        <v>7.9990215446152035E-2</v>
      </c>
      <c r="S209" s="31">
        <v>0</v>
      </c>
      <c r="T209" s="26" t="s">
        <v>46</v>
      </c>
      <c r="U209" s="26" t="s">
        <v>46</v>
      </c>
    </row>
    <row r="210" spans="1:21" x14ac:dyDescent="0.2">
      <c r="A210" s="31">
        <v>1.164862272166644</v>
      </c>
      <c r="B210" s="46" t="s">
        <v>1535</v>
      </c>
      <c r="C210" s="32">
        <v>0.14612417755126952</v>
      </c>
      <c r="D210" s="32">
        <v>0.14612103550812289</v>
      </c>
      <c r="E210" s="31">
        <v>3.9669097646488627E-3</v>
      </c>
      <c r="F210" s="31">
        <v>1.4199977278519227E-3</v>
      </c>
      <c r="G210" s="31">
        <v>0.66640994405999854</v>
      </c>
      <c r="H210" s="31">
        <v>-0.3241954949141414</v>
      </c>
      <c r="I210" s="31">
        <v>8.5791197861048649E-2</v>
      </c>
      <c r="J210" s="47" t="s">
        <v>1536</v>
      </c>
      <c r="K210" s="32">
        <v>0</v>
      </c>
      <c r="L210" s="32">
        <v>0</v>
      </c>
      <c r="M210" s="31">
        <v>-0.50000000052480864</v>
      </c>
      <c r="N210" s="31">
        <v>0</v>
      </c>
      <c r="O210" s="31">
        <v>0</v>
      </c>
      <c r="P210" s="31">
        <v>0</v>
      </c>
      <c r="Q210" s="31">
        <v>0</v>
      </c>
      <c r="R210" s="31">
        <v>1.000209372673877E-2</v>
      </c>
      <c r="S210" s="31">
        <v>0</v>
      </c>
      <c r="T210" s="26" t="s">
        <v>46</v>
      </c>
      <c r="U210" s="26" t="s">
        <v>46</v>
      </c>
    </row>
    <row r="211" spans="1:21" x14ac:dyDescent="0.2">
      <c r="A211" s="31">
        <v>1.1991229272303687</v>
      </c>
      <c r="B211" s="46" t="s">
        <v>1537</v>
      </c>
      <c r="C211" s="32">
        <v>9.3848437499999993E-2</v>
      </c>
      <c r="D211" s="32">
        <v>8.5511688500861965E-2</v>
      </c>
      <c r="E211" s="31">
        <v>3.6206623577061947E-7</v>
      </c>
      <c r="F211" s="31">
        <v>3.4959040023061072E-7</v>
      </c>
      <c r="G211" s="31">
        <v>1.0537031646979398E-4</v>
      </c>
      <c r="H211" s="31">
        <v>-3.2910021567314525E-5</v>
      </c>
      <c r="I211" s="31">
        <v>7.9141391512181724E-6</v>
      </c>
      <c r="J211" s="29" t="s">
        <v>1538</v>
      </c>
      <c r="K211" s="32">
        <v>0</v>
      </c>
      <c r="L211" s="32">
        <v>0</v>
      </c>
      <c r="M211" s="31">
        <v>-0.50000000052480864</v>
      </c>
      <c r="N211" s="31">
        <v>0</v>
      </c>
      <c r="O211" s="31">
        <v>0</v>
      </c>
      <c r="P211" s="31">
        <v>0</v>
      </c>
      <c r="Q211" s="31">
        <v>0</v>
      </c>
      <c r="R211" s="31">
        <v>3.5906184599217549E-7</v>
      </c>
      <c r="S211" s="31">
        <v>0</v>
      </c>
      <c r="T211" s="26" t="s">
        <v>46</v>
      </c>
      <c r="U211" s="27" t="s">
        <v>47</v>
      </c>
    </row>
    <row r="212" spans="1:21" x14ac:dyDescent="0.2">
      <c r="A212" s="31">
        <v>1.2333835822940935</v>
      </c>
      <c r="B212" s="46" t="s">
        <v>1539</v>
      </c>
      <c r="C212" s="32">
        <v>9.3848437499999993E-2</v>
      </c>
      <c r="D212" s="32">
        <v>9.8509853284789006E-2</v>
      </c>
      <c r="E212" s="31">
        <v>5.0937905005099537E-9</v>
      </c>
      <c r="F212" s="31">
        <v>5.6277191200964744E-9</v>
      </c>
      <c r="G212" s="31">
        <v>1.6962552298246788E-6</v>
      </c>
      <c r="H212" s="31">
        <v>-5.2954321168077977E-7</v>
      </c>
      <c r="I212" s="31">
        <v>1.1143594878915545E-7</v>
      </c>
      <c r="J212" s="29" t="s">
        <v>1540</v>
      </c>
      <c r="K212" s="32">
        <v>0</v>
      </c>
      <c r="L212" s="32">
        <v>0</v>
      </c>
      <c r="M212" s="31">
        <v>-0.50000000052480864</v>
      </c>
      <c r="N212" s="31">
        <v>0</v>
      </c>
      <c r="O212" s="31">
        <v>0</v>
      </c>
      <c r="P212" s="31">
        <v>0</v>
      </c>
      <c r="Q212" s="31">
        <v>0</v>
      </c>
      <c r="R212" s="31">
        <v>4.4382499834233105E-9</v>
      </c>
      <c r="S212" s="31">
        <v>0</v>
      </c>
      <c r="T212" s="26" t="s">
        <v>46</v>
      </c>
      <c r="U212" s="27" t="s">
        <v>47</v>
      </c>
    </row>
    <row r="213" spans="1:21" x14ac:dyDescent="0.2">
      <c r="A213" s="31">
        <v>1.3019048924215431</v>
      </c>
      <c r="B213" s="46" t="s">
        <v>1541</v>
      </c>
      <c r="C213" s="32">
        <v>9.3848437499999993E-2</v>
      </c>
      <c r="D213" s="32">
        <v>0.12319446585816497</v>
      </c>
      <c r="E213" s="31">
        <v>2.7833291227352674E-13</v>
      </c>
      <c r="F213" s="31">
        <v>3.8166416630295584E-13</v>
      </c>
      <c r="G213" s="31">
        <v>1.1503769543441014E-10</v>
      </c>
      <c r="H213" s="31">
        <v>-3.5890595515043988E-11</v>
      </c>
      <c r="I213" s="31">
        <v>6.0956268745974274E-12</v>
      </c>
      <c r="J213" s="29" t="s">
        <v>1542</v>
      </c>
      <c r="K213" s="32">
        <v>0</v>
      </c>
      <c r="L213" s="32">
        <v>0</v>
      </c>
      <c r="M213" s="31">
        <v>-0.50000000052480864</v>
      </c>
      <c r="N213" s="31">
        <v>0</v>
      </c>
      <c r="O213" s="31">
        <v>0</v>
      </c>
      <c r="P213" s="31">
        <v>0</v>
      </c>
      <c r="Q213" s="31">
        <v>0</v>
      </c>
      <c r="R213" s="31">
        <v>1.9569066105777822E-13</v>
      </c>
      <c r="S213" s="31">
        <v>0</v>
      </c>
      <c r="T213" s="26" t="s">
        <v>46</v>
      </c>
      <c r="U213" s="27" t="s">
        <v>47</v>
      </c>
    </row>
    <row r="214" spans="1:21" x14ac:dyDescent="0.2">
      <c r="A214" s="31">
        <v>0.41112786076469782</v>
      </c>
      <c r="B214" s="46" t="s">
        <v>1543</v>
      </c>
      <c r="C214" s="32">
        <v>0</v>
      </c>
      <c r="D214" s="32">
        <v>0</v>
      </c>
      <c r="E214" s="31">
        <v>0.50000000052480864</v>
      </c>
      <c r="F214" s="31">
        <v>0</v>
      </c>
      <c r="G214" s="31">
        <v>0</v>
      </c>
      <c r="H214" s="31">
        <v>0</v>
      </c>
      <c r="I214" s="31">
        <v>0</v>
      </c>
      <c r="J214" s="47" t="s">
        <v>1544</v>
      </c>
      <c r="K214" s="32">
        <v>0.37509375</v>
      </c>
      <c r="L214" s="32">
        <v>0.35051654687213613</v>
      </c>
      <c r="M214" s="31">
        <v>-2.4267131093491656E-7</v>
      </c>
      <c r="N214" s="31">
        <v>4.8135817780603845E-8</v>
      </c>
      <c r="O214" s="31">
        <v>8.8508365137116086E-5</v>
      </c>
      <c r="P214" s="31">
        <v>-7.2037581182973995E-5</v>
      </c>
      <c r="Q214" s="31">
        <v>-8.4300365414525715E-6</v>
      </c>
      <c r="R214" s="31">
        <v>0</v>
      </c>
      <c r="S214" s="31">
        <v>1.2194191296721613E-6</v>
      </c>
      <c r="T214" s="26" t="s">
        <v>46</v>
      </c>
      <c r="U214" s="26" t="s">
        <v>46</v>
      </c>
    </row>
    <row r="215" spans="1:21" x14ac:dyDescent="0.2">
      <c r="A215" s="31">
        <v>0.44538851582842265</v>
      </c>
      <c r="B215" s="46" t="s">
        <v>1545</v>
      </c>
      <c r="C215" s="32">
        <v>0</v>
      </c>
      <c r="D215" s="32">
        <v>0</v>
      </c>
      <c r="E215" s="31">
        <v>0.50000000052480864</v>
      </c>
      <c r="F215" s="31">
        <v>0</v>
      </c>
      <c r="G215" s="31">
        <v>0</v>
      </c>
      <c r="H215" s="31">
        <v>0</v>
      </c>
      <c r="I215" s="31">
        <v>0</v>
      </c>
      <c r="J215" s="47" t="s">
        <v>1546</v>
      </c>
      <c r="K215" s="32">
        <v>0</v>
      </c>
      <c r="L215" s="32">
        <v>0.30748768658792186</v>
      </c>
      <c r="M215" s="31">
        <v>-0.50000000052480864</v>
      </c>
      <c r="N215" s="31">
        <v>0</v>
      </c>
      <c r="O215" s="31">
        <v>0</v>
      </c>
      <c r="P215" s="31">
        <v>0</v>
      </c>
      <c r="Q215" s="31">
        <v>0</v>
      </c>
      <c r="R215" s="31">
        <v>0</v>
      </c>
      <c r="S215" s="31">
        <v>0</v>
      </c>
      <c r="T215" s="26" t="s">
        <v>46</v>
      </c>
      <c r="U215" s="26" t="s">
        <v>46</v>
      </c>
    </row>
    <row r="216" spans="1:21" x14ac:dyDescent="0.2">
      <c r="A216" s="31">
        <v>0.47964917089214748</v>
      </c>
      <c r="B216" s="46" t="s">
        <v>1547</v>
      </c>
      <c r="C216" s="32">
        <v>0</v>
      </c>
      <c r="D216" s="32">
        <v>67.453307350468194</v>
      </c>
      <c r="E216" s="31">
        <v>0.50000000052480864</v>
      </c>
      <c r="F216" s="31">
        <v>0</v>
      </c>
      <c r="G216" s="31">
        <v>0</v>
      </c>
      <c r="H216" s="31">
        <v>0</v>
      </c>
      <c r="I216" s="48">
        <v>0</v>
      </c>
      <c r="J216" s="47" t="s">
        <v>1548</v>
      </c>
      <c r="K216" s="32">
        <v>0.187596875</v>
      </c>
      <c r="L216" s="32">
        <v>0.2730132288735726</v>
      </c>
      <c r="M216" s="31">
        <v>-1.1102230246251565E-16</v>
      </c>
      <c r="N216" s="31">
        <v>6.7705351470873984E-17</v>
      </c>
      <c r="O216" s="31">
        <v>6.2262238848489732E-14</v>
      </c>
      <c r="P216" s="31">
        <v>-2.5338500449148534E-14</v>
      </c>
      <c r="Q216" s="31">
        <v>-3.5754920598680966E-15</v>
      </c>
      <c r="R216" s="31">
        <v>0</v>
      </c>
      <c r="S216" s="31">
        <v>0</v>
      </c>
      <c r="T216" s="26" t="s">
        <v>46</v>
      </c>
      <c r="U216" s="26" t="s">
        <v>46</v>
      </c>
    </row>
    <row r="217" spans="1:21" x14ac:dyDescent="0.2">
      <c r="A217" s="31">
        <v>0.51390982595587231</v>
      </c>
      <c r="B217" s="46" t="s">
        <v>1549</v>
      </c>
      <c r="C217" s="32">
        <v>0</v>
      </c>
      <c r="D217" s="32">
        <v>64351.408664172872</v>
      </c>
      <c r="E217" s="31">
        <v>0.50000000052480864</v>
      </c>
      <c r="F217" s="31">
        <v>0</v>
      </c>
      <c r="G217" s="31">
        <v>0</v>
      </c>
      <c r="H217" s="31">
        <v>0</v>
      </c>
      <c r="I217" s="31">
        <v>0</v>
      </c>
      <c r="J217" s="47" t="s">
        <v>1550</v>
      </c>
      <c r="K217" s="32">
        <v>0.187596875</v>
      </c>
      <c r="L217" s="32">
        <v>0.25541146123721908</v>
      </c>
      <c r="M217" s="31">
        <v>-4.7850612361344247E-14</v>
      </c>
      <c r="N217" s="31">
        <v>2.7401191357148895E-14</v>
      </c>
      <c r="O217" s="31">
        <v>2.5198296500179944E-11</v>
      </c>
      <c r="P217" s="31">
        <v>-1.0253013447789492E-11</v>
      </c>
      <c r="Q217" s="31">
        <v>-1.6262104065150076E-12</v>
      </c>
      <c r="R217" s="31">
        <v>0</v>
      </c>
      <c r="S217" s="31">
        <v>8.4932061383824475E-14</v>
      </c>
      <c r="T217" s="26" t="s">
        <v>46</v>
      </c>
      <c r="U217" s="26" t="s">
        <v>46</v>
      </c>
    </row>
    <row r="218" spans="1:21" x14ac:dyDescent="0.2">
      <c r="A218" s="31">
        <v>0.54817048101959709</v>
      </c>
      <c r="B218" s="46" t="s">
        <v>1551</v>
      </c>
      <c r="C218" s="32">
        <v>0</v>
      </c>
      <c r="D218" s="32">
        <v>0</v>
      </c>
      <c r="E218" s="31">
        <v>0.50000000052480864</v>
      </c>
      <c r="F218" s="31">
        <v>0</v>
      </c>
      <c r="G218" s="31">
        <v>0</v>
      </c>
      <c r="H218" s="31">
        <v>0</v>
      </c>
      <c r="I218" s="31">
        <v>0</v>
      </c>
      <c r="J218" s="47" t="s">
        <v>1552</v>
      </c>
      <c r="K218" s="32">
        <v>0</v>
      </c>
      <c r="L218" s="32">
        <v>0.22526499067005926</v>
      </c>
      <c r="M218" s="31">
        <v>-0.50000000052480864</v>
      </c>
      <c r="N218" s="31">
        <v>0</v>
      </c>
      <c r="O218" s="31">
        <v>0</v>
      </c>
      <c r="P218" s="31">
        <v>0</v>
      </c>
      <c r="Q218" s="31">
        <v>0</v>
      </c>
      <c r="R218" s="31">
        <v>0</v>
      </c>
      <c r="S218" s="31">
        <v>0</v>
      </c>
      <c r="T218" s="26" t="s">
        <v>46</v>
      </c>
      <c r="U218" s="26" t="s">
        <v>46</v>
      </c>
    </row>
    <row r="219" spans="1:21" x14ac:dyDescent="0.2">
      <c r="A219" s="31">
        <v>0.58243113608332198</v>
      </c>
      <c r="B219" s="46" t="s">
        <v>1553</v>
      </c>
      <c r="C219" s="32">
        <v>0</v>
      </c>
      <c r="D219" s="32">
        <v>0</v>
      </c>
      <c r="E219" s="31">
        <v>0.50000000052480864</v>
      </c>
      <c r="F219" s="31">
        <v>0</v>
      </c>
      <c r="G219" s="31">
        <v>0</v>
      </c>
      <c r="H219" s="31">
        <v>0</v>
      </c>
      <c r="I219" s="31">
        <v>0</v>
      </c>
      <c r="J219" s="47" t="s">
        <v>1554</v>
      </c>
      <c r="K219" s="32">
        <v>0.44188035659790037</v>
      </c>
      <c r="L219" s="32">
        <v>0.44189238869640923</v>
      </c>
      <c r="M219" s="31">
        <v>-3.9264608832986214E-3</v>
      </c>
      <c r="N219" s="31">
        <v>3.7661351271092236E-4</v>
      </c>
      <c r="O219" s="31">
        <v>0.81578690672012222</v>
      </c>
      <c r="P219" s="31">
        <v>-0.78170225150521699</v>
      </c>
      <c r="Q219" s="31">
        <v>-0.14109002436165963</v>
      </c>
      <c r="R219" s="31">
        <v>0</v>
      </c>
      <c r="S219" s="31">
        <v>3.999018350249306E-2</v>
      </c>
      <c r="T219" s="26" t="s">
        <v>46</v>
      </c>
      <c r="U219" s="26" t="s">
        <v>46</v>
      </c>
    </row>
    <row r="220" spans="1:21" x14ac:dyDescent="0.2">
      <c r="A220" s="31">
        <v>0.61669179114704675</v>
      </c>
      <c r="B220" s="46" t="s">
        <v>1555</v>
      </c>
      <c r="C220" s="32">
        <v>0</v>
      </c>
      <c r="D220" s="32">
        <v>4.6892578318616443E-2</v>
      </c>
      <c r="E220" s="31">
        <v>0.50000000052480864</v>
      </c>
      <c r="F220" s="31">
        <v>0</v>
      </c>
      <c r="G220" s="31">
        <v>0</v>
      </c>
      <c r="H220" s="31">
        <v>0</v>
      </c>
      <c r="I220" s="31">
        <v>0</v>
      </c>
      <c r="J220" s="47" t="s">
        <v>1556</v>
      </c>
      <c r="K220" s="32">
        <v>0.42611066093444827</v>
      </c>
      <c r="L220" s="32">
        <v>0.42610494731008902</v>
      </c>
      <c r="M220" s="31">
        <v>-6.7669345639356226E-3</v>
      </c>
      <c r="N220" s="31">
        <v>6.3393659981069567E-4</v>
      </c>
      <c r="O220" s="31">
        <v>1.3241718853880562</v>
      </c>
      <c r="P220" s="31">
        <v>-1.2233385109994193</v>
      </c>
      <c r="Q220" s="31">
        <v>-0.24340886559197655</v>
      </c>
      <c r="R220" s="31">
        <v>0</v>
      </c>
      <c r="S220" s="31">
        <v>7.0007565537042238E-2</v>
      </c>
      <c r="T220" s="26" t="s">
        <v>46</v>
      </c>
      <c r="U220" s="26" t="s">
        <v>46</v>
      </c>
    </row>
    <row r="221" spans="1:21" x14ac:dyDescent="0.2">
      <c r="A221" s="31">
        <v>0.65095244621077153</v>
      </c>
      <c r="B221" s="46" t="s">
        <v>1557</v>
      </c>
      <c r="C221" s="32">
        <v>0</v>
      </c>
      <c r="D221" s="32">
        <v>8.5249438369939853E-2</v>
      </c>
      <c r="E221" s="31">
        <v>0.50000000052480864</v>
      </c>
      <c r="F221" s="31">
        <v>0</v>
      </c>
      <c r="G221" s="31">
        <v>0</v>
      </c>
      <c r="H221" s="31">
        <v>0</v>
      </c>
      <c r="I221" s="31">
        <v>0</v>
      </c>
      <c r="J221" s="47" t="s">
        <v>1558</v>
      </c>
      <c r="K221" s="32">
        <v>0.35795078620910648</v>
      </c>
      <c r="L221" s="32">
        <v>0.35794747566650131</v>
      </c>
      <c r="M221" s="31">
        <v>-4.8133238414670432E-3</v>
      </c>
      <c r="N221" s="31">
        <v>5.5772626925326913E-4</v>
      </c>
      <c r="O221" s="31">
        <v>0.9786345806917861</v>
      </c>
      <c r="P221" s="31">
        <v>-0.75929546115990121</v>
      </c>
      <c r="Q221" s="31">
        <v>-0.17088244746599693</v>
      </c>
      <c r="R221" s="31">
        <v>0</v>
      </c>
      <c r="S221" s="31">
        <v>4.0003239717728012E-2</v>
      </c>
      <c r="T221" s="26" t="s">
        <v>46</v>
      </c>
      <c r="U221" s="26" t="s">
        <v>46</v>
      </c>
    </row>
    <row r="222" spans="1:21" x14ac:dyDescent="0.2">
      <c r="A222" s="31">
        <v>0.68521310127449642</v>
      </c>
      <c r="B222" s="46" t="s">
        <v>1559</v>
      </c>
      <c r="C222" s="32">
        <v>0.79924334652423856</v>
      </c>
      <c r="D222" s="32">
        <v>0.7992434080529307</v>
      </c>
      <c r="E222" s="31">
        <v>0.88079845863527118</v>
      </c>
      <c r="F222" s="31">
        <v>3.5579968519369376E-3</v>
      </c>
      <c r="G222" s="31">
        <v>13.939934260904034</v>
      </c>
      <c r="H222" s="31">
        <v>-24.384611011269282</v>
      </c>
      <c r="I222" s="31">
        <v>18.100544026918577</v>
      </c>
      <c r="J222" s="47" t="s">
        <v>1560</v>
      </c>
      <c r="K222" s="32">
        <v>0.35805378131866461</v>
      </c>
      <c r="L222" s="32">
        <v>0.35805131807328394</v>
      </c>
      <c r="M222" s="31">
        <v>-1.1020480283735923E-2</v>
      </c>
      <c r="N222" s="31">
        <v>1.1570971248810549E-3</v>
      </c>
      <c r="O222" s="31">
        <v>2.0309265431995795</v>
      </c>
      <c r="P222" s="31">
        <v>-1.5758087144991884</v>
      </c>
      <c r="Q222" s="31">
        <v>-0.39318760188377588</v>
      </c>
      <c r="R222" s="31">
        <v>49.899999142294035</v>
      </c>
      <c r="S222" s="31">
        <v>0.10000500258701051</v>
      </c>
      <c r="T222" s="26" t="s">
        <v>46</v>
      </c>
      <c r="U222" s="26" t="s">
        <v>46</v>
      </c>
    </row>
    <row r="223" spans="1:21" x14ac:dyDescent="0.2">
      <c r="A223" s="31">
        <v>0.71947375633822119</v>
      </c>
      <c r="B223" s="46" t="s">
        <v>1561</v>
      </c>
      <c r="C223" s="32">
        <v>0.39825906672477718</v>
      </c>
      <c r="D223" s="32">
        <v>0.39825852284345831</v>
      </c>
      <c r="E223" s="31">
        <v>0.96573217423868996</v>
      </c>
      <c r="F223" s="31">
        <v>2.7234355865832231E-3</v>
      </c>
      <c r="G223" s="31">
        <v>5.3169051921496067</v>
      </c>
      <c r="H223" s="31">
        <v>-4.8290381589031295</v>
      </c>
      <c r="I223" s="31">
        <v>22.909756824514883</v>
      </c>
      <c r="J223" s="47" t="s">
        <v>1562</v>
      </c>
      <c r="K223" s="32">
        <v>0.33623026199340827</v>
      </c>
      <c r="L223" s="32">
        <v>0.33622987405294941</v>
      </c>
      <c r="M223" s="31">
        <v>-1.6793465232214588E-2</v>
      </c>
      <c r="N223" s="31">
        <v>1.7722889576484225E-3</v>
      </c>
      <c r="O223" s="31">
        <v>2.9211070118628415</v>
      </c>
      <c r="P223" s="31">
        <v>-2.1276859377863393</v>
      </c>
      <c r="Q223" s="31">
        <v>-0.59860623357475828</v>
      </c>
      <c r="R223" s="31">
        <v>41.400002891759556</v>
      </c>
      <c r="S223" s="31">
        <v>0.15000113321287312</v>
      </c>
      <c r="T223" s="26" t="s">
        <v>46</v>
      </c>
      <c r="U223" s="26" t="s">
        <v>46</v>
      </c>
    </row>
    <row r="224" spans="1:21" x14ac:dyDescent="0.2">
      <c r="A224" s="31">
        <v>0.75373441140194597</v>
      </c>
      <c r="B224" s="46" t="s">
        <v>1563</v>
      </c>
      <c r="C224" s="32">
        <v>0.65150687527656559</v>
      </c>
      <c r="D224" s="32">
        <v>0.65150675245366763</v>
      </c>
      <c r="E224" s="31">
        <v>0.85599328084416348</v>
      </c>
      <c r="F224" s="31">
        <v>4.9735766846395173E-3</v>
      </c>
      <c r="G224" s="31">
        <v>15.884149216896203</v>
      </c>
      <c r="H224" s="31">
        <v>-22.6770662550827</v>
      </c>
      <c r="I224" s="31">
        <v>19.568939839933858</v>
      </c>
      <c r="J224" s="47" t="s">
        <v>1564</v>
      </c>
      <c r="K224" s="32">
        <v>0.29143311128616328</v>
      </c>
      <c r="L224" s="32">
        <v>0.29143409163818285</v>
      </c>
      <c r="M224" s="31">
        <v>-1.8051446856838127E-2</v>
      </c>
      <c r="N224" s="31">
        <v>2.1748136682902671E-3</v>
      </c>
      <c r="O224" s="31">
        <v>3.1069701669102852</v>
      </c>
      <c r="P224" s="31">
        <v>-1.9606829872687368</v>
      </c>
      <c r="Q224" s="31">
        <v>-0.63855852799092949</v>
      </c>
      <c r="R224" s="31">
        <v>39.900001950937082</v>
      </c>
      <c r="S224" s="31">
        <v>0.13999695405452095</v>
      </c>
      <c r="T224" s="26" t="s">
        <v>46</v>
      </c>
      <c r="U224" s="26" t="s">
        <v>46</v>
      </c>
    </row>
    <row r="225" spans="1:21" x14ac:dyDescent="0.2">
      <c r="A225" s="31">
        <v>0.78799506646567086</v>
      </c>
      <c r="B225" s="46" t="s">
        <v>1565</v>
      </c>
      <c r="C225" s="32">
        <v>0.62119555758237843</v>
      </c>
      <c r="D225" s="32">
        <v>0.62119552203867967</v>
      </c>
      <c r="E225" s="31">
        <v>0.82901486648897815</v>
      </c>
      <c r="F225" s="31">
        <v>5.8398672252257602E-3</v>
      </c>
      <c r="G225" s="31">
        <v>17.783099194914954</v>
      </c>
      <c r="H225" s="31">
        <v>-24.19457086384968</v>
      </c>
      <c r="I225" s="31">
        <v>19.652433389166692</v>
      </c>
      <c r="J225" s="47" t="s">
        <v>1566</v>
      </c>
      <c r="K225" s="32">
        <v>0.2924344526290894</v>
      </c>
      <c r="L225" s="32">
        <v>0.2924331336337872</v>
      </c>
      <c r="M225" s="31">
        <v>-3.8178668643572666E-2</v>
      </c>
      <c r="N225" s="31">
        <v>4.0521213909988155E-3</v>
      </c>
      <c r="O225" s="31">
        <v>5.8088093224042572</v>
      </c>
      <c r="P225" s="31">
        <v>-3.6766964066275389</v>
      </c>
      <c r="Q225" s="31">
        <v>-1.3583526884607933</v>
      </c>
      <c r="R225" s="31">
        <v>35.600000632077112</v>
      </c>
      <c r="S225" s="31">
        <v>0.33000766174220308</v>
      </c>
      <c r="T225" s="26" t="s">
        <v>46</v>
      </c>
      <c r="U225" s="26" t="s">
        <v>46</v>
      </c>
    </row>
    <row r="226" spans="1:21" x14ac:dyDescent="0.2">
      <c r="A226" s="31">
        <v>0.82225572152939563</v>
      </c>
      <c r="B226" s="46" t="s">
        <v>1567</v>
      </c>
      <c r="C226" s="32">
        <v>0</v>
      </c>
      <c r="D226" s="32">
        <v>3.9906740955405383E-5</v>
      </c>
      <c r="E226" s="31">
        <v>0.50000000052480864</v>
      </c>
      <c r="F226" s="31">
        <v>0</v>
      </c>
      <c r="G226" s="31">
        <v>0</v>
      </c>
      <c r="H226" s="31">
        <v>0</v>
      </c>
      <c r="I226" s="31">
        <v>0</v>
      </c>
      <c r="J226" s="47" t="s">
        <v>1568</v>
      </c>
      <c r="K226" s="32">
        <v>0.27189837217330931</v>
      </c>
      <c r="L226" s="32">
        <v>0.2718994991250292</v>
      </c>
      <c r="M226" s="31">
        <v>-5.825611560386601E-2</v>
      </c>
      <c r="N226" s="31">
        <v>6.1143968935415925E-3</v>
      </c>
      <c r="O226" s="31">
        <v>8.1496014433328305</v>
      </c>
      <c r="P226" s="31">
        <v>-4.793067787785998</v>
      </c>
      <c r="Q226" s="31">
        <v>-2.0718641522545305</v>
      </c>
      <c r="R226" s="31">
        <v>0</v>
      </c>
      <c r="S226" s="31">
        <v>0.49999081574966286</v>
      </c>
      <c r="T226" s="26" t="s">
        <v>46</v>
      </c>
      <c r="U226" s="26" t="s">
        <v>46</v>
      </c>
    </row>
    <row r="227" spans="1:21" x14ac:dyDescent="0.2">
      <c r="A227" s="31">
        <v>0.85651637659312052</v>
      </c>
      <c r="B227" s="46" t="s">
        <v>1569</v>
      </c>
      <c r="C227" s="32">
        <v>0.24080815396308899</v>
      </c>
      <c r="D227" s="32">
        <v>0.24080854364400775</v>
      </c>
      <c r="E227" s="31">
        <v>0.91969099098514062</v>
      </c>
      <c r="F227" s="31">
        <v>8.8433828118344437E-3</v>
      </c>
      <c r="G227" s="31">
        <v>10.439164714371053</v>
      </c>
      <c r="H227" s="31">
        <v>-5.7200022900056169</v>
      </c>
      <c r="I227" s="31">
        <v>25.908900730680852</v>
      </c>
      <c r="J227" s="47" t="s">
        <v>1570</v>
      </c>
      <c r="K227" s="32">
        <v>0.25327914514541633</v>
      </c>
      <c r="L227" s="32">
        <v>0.2532798999674809</v>
      </c>
      <c r="M227" s="31">
        <v>-9.0163197416662788E-2</v>
      </c>
      <c r="N227" s="31">
        <v>9.1697565072296969E-3</v>
      </c>
      <c r="O227" s="31">
        <v>11.385008834129261</v>
      </c>
      <c r="P227" s="31">
        <v>-6.2322821531524415</v>
      </c>
      <c r="Q227" s="31">
        <v>-3.2080461435450154</v>
      </c>
      <c r="R227" s="31">
        <v>21.649995932050729</v>
      </c>
      <c r="S227" s="31">
        <v>0.77999140632326147</v>
      </c>
      <c r="T227" s="26" t="s">
        <v>46</v>
      </c>
      <c r="U227" s="26" t="s">
        <v>46</v>
      </c>
    </row>
    <row r="228" spans="1:21" x14ac:dyDescent="0.2">
      <c r="A228" s="31">
        <v>0.8907770316568453</v>
      </c>
      <c r="B228" s="46" t="s">
        <v>1571</v>
      </c>
      <c r="C228" s="32">
        <v>0</v>
      </c>
      <c r="D228" s="32">
        <v>0</v>
      </c>
      <c r="E228" s="31">
        <v>0.50000000052480864</v>
      </c>
      <c r="F228" s="31">
        <v>0</v>
      </c>
      <c r="G228" s="31">
        <v>0</v>
      </c>
      <c r="H228" s="31">
        <v>0</v>
      </c>
      <c r="I228" s="31">
        <v>0</v>
      </c>
      <c r="J228" s="47" t="s">
        <v>1572</v>
      </c>
      <c r="K228" s="32">
        <v>0.23573636006116863</v>
      </c>
      <c r="L228" s="32">
        <v>0.23573629957388054</v>
      </c>
      <c r="M228" s="31">
        <v>-0.13919902410957019</v>
      </c>
      <c r="N228" s="31">
        <v>1.3432921630052906E-2</v>
      </c>
      <c r="O228" s="31">
        <v>15.522911842467245</v>
      </c>
      <c r="P228" s="31">
        <v>-7.8999929929772907</v>
      </c>
      <c r="Q228" s="31">
        <v>-4.9587009218693403</v>
      </c>
      <c r="R228" s="31">
        <v>0</v>
      </c>
      <c r="S228" s="31">
        <v>1.2300009389387065</v>
      </c>
      <c r="T228" s="26" t="s">
        <v>46</v>
      </c>
      <c r="U228" s="26" t="s">
        <v>46</v>
      </c>
    </row>
    <row r="229" spans="1:21" x14ac:dyDescent="0.2">
      <c r="A229" s="31">
        <v>0.92503768672057007</v>
      </c>
      <c r="B229" s="46" t="s">
        <v>1573</v>
      </c>
      <c r="C229" s="32">
        <v>0.14880205039978028</v>
      </c>
      <c r="D229" s="32">
        <v>0.14880142346567607</v>
      </c>
      <c r="E229" s="31">
        <v>0.87173409068640162</v>
      </c>
      <c r="F229" s="31">
        <v>2.0116967160095547E-2</v>
      </c>
      <c r="G229" s="31">
        <v>14.673967711747778</v>
      </c>
      <c r="H229" s="31">
        <v>-5.0091993200137654</v>
      </c>
      <c r="I229" s="31">
        <v>26.588136131400795</v>
      </c>
      <c r="J229" s="47" t="s">
        <v>1574</v>
      </c>
      <c r="K229" s="32">
        <v>0.22177909222841261</v>
      </c>
      <c r="L229" s="32">
        <v>0.22177892191364124</v>
      </c>
      <c r="M229" s="31">
        <v>-0.21461052371072709</v>
      </c>
      <c r="N229" s="31">
        <v>1.8797478292377878E-2</v>
      </c>
      <c r="O229" s="31">
        <v>20.436020520440113</v>
      </c>
      <c r="P229" s="31">
        <v>-9.7693554988822786</v>
      </c>
      <c r="Q229" s="31">
        <v>-7.6689494783728511</v>
      </c>
      <c r="R229" s="31">
        <v>11.700009199587413</v>
      </c>
      <c r="S229" s="31">
        <v>2.0000034805554741</v>
      </c>
      <c r="T229" s="26" t="s">
        <v>46</v>
      </c>
      <c r="U229" s="26" t="s">
        <v>46</v>
      </c>
    </row>
    <row r="230" spans="1:21" x14ac:dyDescent="0.2">
      <c r="A230" s="31">
        <v>0.95929834178429496</v>
      </c>
      <c r="B230" s="46" t="s">
        <v>1575</v>
      </c>
      <c r="C230" s="32">
        <v>0.15897138698101043</v>
      </c>
      <c r="D230" s="32">
        <v>0.15897138606609748</v>
      </c>
      <c r="E230" s="31">
        <v>0.72237693232972333</v>
      </c>
      <c r="F230" s="31">
        <v>3.0118637522351156E-2</v>
      </c>
      <c r="G230" s="31">
        <v>23.470936676853992</v>
      </c>
      <c r="H230" s="31">
        <v>-8.329800801508604</v>
      </c>
      <c r="I230" s="31">
        <v>22.422911443008331</v>
      </c>
      <c r="J230" s="47" t="s">
        <v>1576</v>
      </c>
      <c r="K230" s="32">
        <v>0.20885606695413589</v>
      </c>
      <c r="L230" s="32">
        <v>0.20885613698864292</v>
      </c>
      <c r="M230" s="31">
        <v>-0.31914497093484184</v>
      </c>
      <c r="N230" s="31">
        <v>2.4428031802688203E-2</v>
      </c>
      <c r="O230" s="31">
        <v>25.009885803845957</v>
      </c>
      <c r="P230" s="31">
        <v>-11.233045570516589</v>
      </c>
      <c r="Q230" s="31">
        <v>-11.456385937576281</v>
      </c>
      <c r="R230" s="31">
        <v>8.0000000214738805</v>
      </c>
      <c r="S230" s="31">
        <v>3.1999982484449441</v>
      </c>
      <c r="T230" s="26" t="s">
        <v>46</v>
      </c>
      <c r="U230" s="26" t="s">
        <v>46</v>
      </c>
    </row>
    <row r="231" spans="1:21" x14ac:dyDescent="0.2">
      <c r="A231" s="31">
        <v>0.99355899684801974</v>
      </c>
      <c r="B231" s="46" t="s">
        <v>1577</v>
      </c>
      <c r="C231" s="32">
        <v>0.15894492295980456</v>
      </c>
      <c r="D231" s="32">
        <v>0.15894457199519843</v>
      </c>
      <c r="E231" s="31">
        <v>0.55164179960404669</v>
      </c>
      <c r="F231" s="31">
        <v>3.5548088157205074E-2</v>
      </c>
      <c r="G231" s="31">
        <v>27.697402695707275</v>
      </c>
      <c r="H231" s="31">
        <v>-9.7375311047067896</v>
      </c>
      <c r="I231" s="48">
        <v>17.390010918483974</v>
      </c>
      <c r="J231" s="47" t="s">
        <v>1578</v>
      </c>
      <c r="K231" s="32">
        <v>0.20284372743368151</v>
      </c>
      <c r="L231" s="32">
        <v>0.2028439177595644</v>
      </c>
      <c r="M231" s="31">
        <v>-0.45204401876220968</v>
      </c>
      <c r="N231" s="31">
        <v>2.7887363140583939E-2</v>
      </c>
      <c r="O231" s="31">
        <v>27.729699998917315</v>
      </c>
      <c r="P231" s="31">
        <v>-12.055804793222801</v>
      </c>
      <c r="Q231" s="31">
        <v>-16.369187804078027</v>
      </c>
      <c r="R231" s="31">
        <v>4.9500097208079694</v>
      </c>
      <c r="S231" s="31">
        <v>5.1499947223203373</v>
      </c>
      <c r="T231" s="26" t="s">
        <v>46</v>
      </c>
      <c r="U231" s="26" t="s">
        <v>46</v>
      </c>
    </row>
    <row r="232" spans="1:21" x14ac:dyDescent="0.2">
      <c r="A232" s="31">
        <v>1.0278196519117446</v>
      </c>
      <c r="B232" s="46" t="s">
        <v>1579</v>
      </c>
      <c r="C232" s="32">
        <v>0.15797076088190082</v>
      </c>
      <c r="D232" s="32">
        <v>0.15797042448124213</v>
      </c>
      <c r="E232" s="31">
        <v>0.37555012899901452</v>
      </c>
      <c r="F232" s="31">
        <v>3.4300333174424005E-2</v>
      </c>
      <c r="G232" s="31">
        <v>26.561413640350043</v>
      </c>
      <c r="H232" s="31">
        <v>-9.2349989690858827</v>
      </c>
      <c r="I232" s="48">
        <v>11.979249699778533</v>
      </c>
      <c r="J232" s="47" t="s">
        <v>1580</v>
      </c>
      <c r="K232" s="32">
        <v>0.20104202826023104</v>
      </c>
      <c r="L232" s="32">
        <v>0.20104224105121582</v>
      </c>
      <c r="M232" s="31">
        <v>-0.59125886343444423</v>
      </c>
      <c r="N232" s="31">
        <v>2.7597487889803471E-2</v>
      </c>
      <c r="O232" s="31">
        <v>27.197722926622887</v>
      </c>
      <c r="P232" s="31">
        <v>-11.661876510065618</v>
      </c>
      <c r="Q232" s="31">
        <v>-21.678261647565105</v>
      </c>
      <c r="R232" s="31">
        <v>2.7600089352758701</v>
      </c>
      <c r="S232" s="31">
        <v>7.8999942125695162</v>
      </c>
      <c r="T232" s="26" t="s">
        <v>46</v>
      </c>
      <c r="U232" s="26" t="s">
        <v>46</v>
      </c>
    </row>
    <row r="233" spans="1:21" x14ac:dyDescent="0.2">
      <c r="A233" s="31">
        <v>1.0620803069754694</v>
      </c>
      <c r="B233" s="46" t="s">
        <v>1581</v>
      </c>
      <c r="C233" s="32">
        <v>0.15515484597682955</v>
      </c>
      <c r="D233" s="32">
        <v>0.15515446287028473</v>
      </c>
      <c r="E233" s="31">
        <v>0.22218832888674656</v>
      </c>
      <c r="F233" s="31">
        <v>2.7411662386271417E-2</v>
      </c>
      <c r="G233" s="31">
        <v>20.848597997652774</v>
      </c>
      <c r="H233" s="31">
        <v>-7.0987376029567697</v>
      </c>
      <c r="I233" s="48">
        <v>7.154750803143977</v>
      </c>
      <c r="J233" s="47" t="s">
        <v>1582</v>
      </c>
      <c r="K233" s="32">
        <v>0.19689575985670085</v>
      </c>
      <c r="L233" s="32">
        <v>0.19689581189411393</v>
      </c>
      <c r="M233" s="31">
        <v>-0.72065290186039865</v>
      </c>
      <c r="N233" s="31">
        <v>2.4390897871864575E-2</v>
      </c>
      <c r="O233" s="31">
        <v>23.541833731260542</v>
      </c>
      <c r="P233" s="31">
        <v>-9.801991135844089</v>
      </c>
      <c r="Q233" s="31">
        <v>-26.795559832749372</v>
      </c>
      <c r="R233" s="31">
        <v>1.3400079872280202</v>
      </c>
      <c r="S233" s="31">
        <v>11.249998774943817</v>
      </c>
      <c r="T233" s="26" t="s">
        <v>46</v>
      </c>
      <c r="U233" s="26" t="s">
        <v>46</v>
      </c>
    </row>
    <row r="234" spans="1:21" x14ac:dyDescent="0.2">
      <c r="A234" s="31">
        <v>1.0963409620391942</v>
      </c>
      <c r="B234" s="46" t="s">
        <v>1583</v>
      </c>
      <c r="C234" s="32">
        <v>0.15433660705089569</v>
      </c>
      <c r="D234" s="32">
        <v>0.15433728838343011</v>
      </c>
      <c r="E234" s="31">
        <v>0.1154468352244874</v>
      </c>
      <c r="F234" s="31">
        <v>1.8012379711838986E-2</v>
      </c>
      <c r="G234" s="31">
        <v>13.627499621709132</v>
      </c>
      <c r="H234" s="31">
        <v>-4.6064627410853065</v>
      </c>
      <c r="I234" s="48">
        <v>3.7419947437918668</v>
      </c>
      <c r="J234" s="47" t="s">
        <v>1584</v>
      </c>
      <c r="K234" s="32">
        <v>0</v>
      </c>
      <c r="L234" s="32">
        <v>0</v>
      </c>
      <c r="M234" s="31">
        <v>-0.50000000052480864</v>
      </c>
      <c r="N234" s="31">
        <v>0</v>
      </c>
      <c r="O234" s="31">
        <v>0</v>
      </c>
      <c r="P234" s="31">
        <v>0</v>
      </c>
      <c r="Q234" s="31">
        <v>0</v>
      </c>
      <c r="R234" s="31">
        <v>0.5899907151099093</v>
      </c>
      <c r="S234" s="31">
        <v>0</v>
      </c>
      <c r="T234" s="26" t="s">
        <v>46</v>
      </c>
      <c r="U234" s="26" t="s">
        <v>46</v>
      </c>
    </row>
    <row r="235" spans="1:21" x14ac:dyDescent="0.2">
      <c r="A235" s="31">
        <v>1.130601617102919</v>
      </c>
      <c r="B235" s="46" t="s">
        <v>1585</v>
      </c>
      <c r="C235" s="32">
        <v>0.15479007163047795</v>
      </c>
      <c r="D235" s="32">
        <v>0.15478914566102631</v>
      </c>
      <c r="E235" s="31">
        <v>5.3840011287400458E-2</v>
      </c>
      <c r="F235" s="31">
        <v>1.0092854254271049E-2</v>
      </c>
      <c r="G235" s="31">
        <v>7.6583152473653158</v>
      </c>
      <c r="H235" s="31">
        <v>-2.5927670363429827</v>
      </c>
      <c r="I235" s="48">
        <v>1.753211229515516</v>
      </c>
      <c r="J235" s="47" t="s">
        <v>1586</v>
      </c>
      <c r="K235" s="32">
        <v>0</v>
      </c>
      <c r="L235" s="32">
        <v>0</v>
      </c>
      <c r="M235" s="31">
        <v>-0.50000000052480864</v>
      </c>
      <c r="N235" s="31">
        <v>0</v>
      </c>
      <c r="O235" s="31">
        <v>0</v>
      </c>
      <c r="P235" s="31">
        <v>0</v>
      </c>
      <c r="Q235" s="31">
        <v>0</v>
      </c>
      <c r="R235" s="31">
        <v>0.24000709130854858</v>
      </c>
      <c r="S235" s="31">
        <v>0</v>
      </c>
      <c r="T235" s="26" t="s">
        <v>46</v>
      </c>
      <c r="U235" s="26" t="s">
        <v>46</v>
      </c>
    </row>
    <row r="236" spans="1:21" x14ac:dyDescent="0.2">
      <c r="A236" s="31">
        <v>1.164862272166644</v>
      </c>
      <c r="B236" s="46" t="s">
        <v>1587</v>
      </c>
      <c r="C236" s="32">
        <v>0.1580973590373993</v>
      </c>
      <c r="D236" s="32">
        <v>0.15809702398710856</v>
      </c>
      <c r="E236" s="31">
        <v>2.4586911483420293E-2</v>
      </c>
      <c r="F236" s="31">
        <v>5.2067514963975671E-3</v>
      </c>
      <c r="G236" s="31">
        <v>4.0352235768748503</v>
      </c>
      <c r="H236" s="31">
        <v>-1.3939320584253656</v>
      </c>
      <c r="I236" s="48">
        <v>0.80284225219392469</v>
      </c>
      <c r="J236" s="47" t="s">
        <v>1588</v>
      </c>
      <c r="K236" s="32">
        <v>0</v>
      </c>
      <c r="L236" s="32">
        <v>0</v>
      </c>
      <c r="M236" s="31">
        <v>-0.50000000052480864</v>
      </c>
      <c r="N236" s="31">
        <v>0</v>
      </c>
      <c r="O236" s="31">
        <v>0</v>
      </c>
      <c r="P236" s="31">
        <v>0</v>
      </c>
      <c r="Q236" s="31">
        <v>0</v>
      </c>
      <c r="R236" s="31">
        <v>0.10000135199707749</v>
      </c>
      <c r="S236" s="31">
        <v>0</v>
      </c>
      <c r="T236" s="26" t="s">
        <v>46</v>
      </c>
      <c r="U236" s="26" t="s">
        <v>46</v>
      </c>
    </row>
    <row r="237" spans="1:21" x14ac:dyDescent="0.2">
      <c r="A237" s="31">
        <v>1.1991229272303687</v>
      </c>
      <c r="B237" s="46" t="s">
        <v>1589</v>
      </c>
      <c r="C237" s="32">
        <v>0.1736181498527527</v>
      </c>
      <c r="D237" s="32">
        <v>0.17361754255849696</v>
      </c>
      <c r="E237" s="31">
        <v>1.6497765936342668E-2</v>
      </c>
      <c r="F237" s="31">
        <v>3.3804496074673015E-3</v>
      </c>
      <c r="G237" s="31">
        <v>2.8770388523920731</v>
      </c>
      <c r="H237" s="31">
        <v>-1.0905107479109657</v>
      </c>
      <c r="I237" s="48">
        <v>0.53803811314592154</v>
      </c>
      <c r="J237" s="47" t="s">
        <v>1590</v>
      </c>
      <c r="K237" s="32">
        <v>0</v>
      </c>
      <c r="L237" s="32">
        <v>0</v>
      </c>
      <c r="M237" s="31">
        <v>-0.50000000052480864</v>
      </c>
      <c r="N237" s="31">
        <v>0</v>
      </c>
      <c r="O237" s="31">
        <v>0</v>
      </c>
      <c r="P237" s="31">
        <v>0</v>
      </c>
      <c r="Q237" s="31">
        <v>0</v>
      </c>
      <c r="R237" s="31">
        <v>7.0001747194730513E-2</v>
      </c>
      <c r="S237" s="31">
        <v>0</v>
      </c>
      <c r="T237" s="26" t="s">
        <v>46</v>
      </c>
      <c r="U237" s="26" t="s">
        <v>46</v>
      </c>
    </row>
    <row r="238" spans="1:21" x14ac:dyDescent="0.2">
      <c r="A238" s="31">
        <v>1.2333835822940935</v>
      </c>
      <c r="B238" s="46" t="s">
        <v>1591</v>
      </c>
      <c r="C238" s="32">
        <v>0.16859999923706057</v>
      </c>
      <c r="D238" s="32">
        <v>0.16860296086469295</v>
      </c>
      <c r="E238" s="31">
        <v>5.4432897697747062E-3</v>
      </c>
      <c r="F238" s="31">
        <v>1.3211036654751111E-3</v>
      </c>
      <c r="G238" s="31">
        <v>1.0918691675942409</v>
      </c>
      <c r="H238" s="31">
        <v>-0.40169890953729426</v>
      </c>
      <c r="I238" s="48">
        <v>0.17823500590033553</v>
      </c>
      <c r="J238" s="47" t="s">
        <v>1592</v>
      </c>
      <c r="K238" s="32">
        <v>0</v>
      </c>
      <c r="L238" s="32">
        <v>0</v>
      </c>
      <c r="M238" s="31">
        <v>-0.50000000052480864</v>
      </c>
      <c r="N238" s="31">
        <v>0</v>
      </c>
      <c r="O238" s="31">
        <v>0</v>
      </c>
      <c r="P238" s="31">
        <v>0</v>
      </c>
      <c r="Q238" s="31">
        <v>0</v>
      </c>
      <c r="R238" s="31">
        <v>1.9996766100098373E-2</v>
      </c>
      <c r="S238" s="31">
        <v>0</v>
      </c>
      <c r="T238" s="26" t="s">
        <v>46</v>
      </c>
      <c r="U238" s="26" t="s">
        <v>46</v>
      </c>
    </row>
    <row r="239" spans="1:21" x14ac:dyDescent="0.2">
      <c r="A239" s="31">
        <v>1.2676442373578183</v>
      </c>
      <c r="B239" s="46" t="s">
        <v>1593</v>
      </c>
      <c r="C239" s="32">
        <v>9.3848437499999993E-2</v>
      </c>
      <c r="D239" s="32">
        <v>8.7468854162678467E-2</v>
      </c>
      <c r="E239" s="31">
        <v>8.3468803868669283E-8</v>
      </c>
      <c r="F239" s="31">
        <v>6.8618661647273728E-8</v>
      </c>
      <c r="G239" s="31">
        <v>3.1567880668857275E-5</v>
      </c>
      <c r="H239" s="31">
        <v>-6.4637802887575578E-6</v>
      </c>
      <c r="I239" s="48">
        <v>2.7814457852672166E-6</v>
      </c>
      <c r="J239" s="47" t="s">
        <v>1594</v>
      </c>
      <c r="K239" s="32">
        <v>0.58432831506729133</v>
      </c>
      <c r="L239" s="32">
        <v>0.58432815908428248</v>
      </c>
      <c r="M239" s="31">
        <v>-0.75926749277423211</v>
      </c>
      <c r="N239" s="31">
        <v>7.6113084051862784E-3</v>
      </c>
      <c r="O239" s="31">
        <v>21.801801835580189</v>
      </c>
      <c r="P239" s="31">
        <v>-27.319098058492305</v>
      </c>
      <c r="Q239" s="31">
        <v>-35.641803384068034</v>
      </c>
      <c r="R239" s="31">
        <v>9.7306783101641035E-8</v>
      </c>
      <c r="S239" s="31">
        <v>44.050003400710338</v>
      </c>
      <c r="T239" s="26" t="s">
        <v>46</v>
      </c>
      <c r="U239" s="26" t="s">
        <v>46</v>
      </c>
    </row>
    <row r="240" spans="1:21" x14ac:dyDescent="0.2">
      <c r="A240" s="31">
        <v>1.3019048924215431</v>
      </c>
      <c r="B240" s="46" t="s">
        <v>1595</v>
      </c>
      <c r="C240" s="32">
        <v>9.3848437499999993E-2</v>
      </c>
      <c r="D240" s="32">
        <v>0.10016830898951035</v>
      </c>
      <c r="E240" s="31">
        <v>2.8560146470013592E-9</v>
      </c>
      <c r="F240" s="31">
        <v>2.5946247145543849E-9</v>
      </c>
      <c r="G240" s="31">
        <v>1.1936520095736217E-6</v>
      </c>
      <c r="H240" s="31">
        <v>-2.4431073368526231E-7</v>
      </c>
      <c r="I240" s="48">
        <v>9.5243574146939086E-8</v>
      </c>
      <c r="J240" s="47" t="s">
        <v>1596</v>
      </c>
      <c r="K240" s="32">
        <v>0</v>
      </c>
      <c r="L240" s="32">
        <v>0</v>
      </c>
      <c r="M240" s="31">
        <v>-0.50000000052480864</v>
      </c>
      <c r="N240" s="31">
        <v>0</v>
      </c>
      <c r="O240" s="31">
        <v>0</v>
      </c>
      <c r="P240" s="31">
        <v>0</v>
      </c>
      <c r="Q240" s="31">
        <v>0</v>
      </c>
      <c r="R240" s="31">
        <v>3.0234154029089925E-9</v>
      </c>
      <c r="S240" s="31">
        <v>0</v>
      </c>
      <c r="T240" s="26" t="s">
        <v>46</v>
      </c>
      <c r="U240" s="26" t="s">
        <v>46</v>
      </c>
    </row>
    <row r="241" spans="1:21" x14ac:dyDescent="0.2">
      <c r="A241" s="31">
        <v>1.3361655474852678</v>
      </c>
      <c r="B241" s="46" t="s">
        <v>1597</v>
      </c>
      <c r="C241" s="32">
        <v>9.3848437499999993E-2</v>
      </c>
      <c r="D241" s="32">
        <v>0.10979925477900004</v>
      </c>
      <c r="E241" s="31">
        <v>7.6814332672370256E-11</v>
      </c>
      <c r="F241" s="31">
        <v>7.6238450560554138E-11</v>
      </c>
      <c r="G241" s="31">
        <v>3.5073349609257029E-8</v>
      </c>
      <c r="H241" s="31">
        <v>-7.1762864528088121E-9</v>
      </c>
      <c r="I241" s="48">
        <v>2.5632382059870449E-9</v>
      </c>
      <c r="J241" s="47" t="s">
        <v>1598</v>
      </c>
      <c r="K241" s="32">
        <v>0.64813235495090504</v>
      </c>
      <c r="L241" s="32">
        <v>0.64813230093756391</v>
      </c>
      <c r="M241" s="31">
        <v>-0.78078617225935421</v>
      </c>
      <c r="N241" s="31">
        <v>6.5115507241486192E-3</v>
      </c>
      <c r="O241" s="31">
        <v>20.688274345545523</v>
      </c>
      <c r="P241" s="31">
        <v>-28.743281451002726</v>
      </c>
      <c r="Q241" s="31">
        <v>-38.631663637668282</v>
      </c>
      <c r="R241" s="31">
        <v>7.4547369592561421E-11</v>
      </c>
      <c r="S241" s="31">
        <v>53.900001117442798</v>
      </c>
      <c r="T241" s="26" t="s">
        <v>46</v>
      </c>
      <c r="U241" s="26" t="s">
        <v>46</v>
      </c>
    </row>
    <row r="242" spans="1:21" x14ac:dyDescent="0.2">
      <c r="A242" s="31">
        <v>1.3704262025489928</v>
      </c>
      <c r="B242" s="46" t="s">
        <v>1599</v>
      </c>
      <c r="C242" s="32">
        <v>9.3848437499999993E-2</v>
      </c>
      <c r="D242" s="32">
        <v>0.11913507450895004</v>
      </c>
      <c r="E242" s="31">
        <v>1.6553425297161084E-12</v>
      </c>
      <c r="F242" s="31">
        <v>1.7780734741822135E-12</v>
      </c>
      <c r="G242" s="31">
        <v>8.1799921342060562E-10</v>
      </c>
      <c r="H242" s="31">
        <v>-1.6732403698912996E-10</v>
      </c>
      <c r="I242" s="48">
        <v>5.5266891553961152E-11</v>
      </c>
      <c r="J242" s="47" t="s">
        <v>1600</v>
      </c>
      <c r="K242" s="32">
        <v>0</v>
      </c>
      <c r="L242" s="32">
        <v>0</v>
      </c>
      <c r="M242" s="31">
        <v>-0.50000000052480864</v>
      </c>
      <c r="N242" s="31">
        <v>0</v>
      </c>
      <c r="O242" s="31">
        <v>0</v>
      </c>
      <c r="P242" s="31">
        <v>0</v>
      </c>
      <c r="Q242" s="31">
        <v>0</v>
      </c>
      <c r="R242" s="31">
        <v>1.4844907720320399E-12</v>
      </c>
      <c r="S242" s="31">
        <v>0</v>
      </c>
      <c r="T242" s="26" t="s">
        <v>46</v>
      </c>
      <c r="U242" s="26" t="s">
        <v>46</v>
      </c>
    </row>
    <row r="243" spans="1:21" x14ac:dyDescent="0.2">
      <c r="A243" s="31">
        <v>1.4046868576127176</v>
      </c>
      <c r="B243" s="46" t="s">
        <v>1601</v>
      </c>
      <c r="C243" s="32">
        <v>9.3848437499999993E-2</v>
      </c>
      <c r="D243" s="32">
        <v>0.12819028231256607</v>
      </c>
      <c r="E243" s="31">
        <v>2.9087843245179101E-14</v>
      </c>
      <c r="F243" s="31">
        <v>3.3554398667346642E-14</v>
      </c>
      <c r="G243" s="31">
        <v>1.5436635277017921E-11</v>
      </c>
      <c r="H243" s="31">
        <v>-3.1569161632306816E-12</v>
      </c>
      <c r="I243" s="48">
        <v>9.7381080173407523E-13</v>
      </c>
      <c r="J243" s="47" t="s">
        <v>1602</v>
      </c>
      <c r="K243" s="32">
        <v>0.70997948775291442</v>
      </c>
      <c r="L243" s="32">
        <v>0.70997925794944494</v>
      </c>
      <c r="M243" s="31">
        <v>-0.79554108141050994</v>
      </c>
      <c r="N243" s="31">
        <v>5.7068155329753241E-3</v>
      </c>
      <c r="O243" s="31">
        <v>19.861670501781781</v>
      </c>
      <c r="P243" s="31">
        <v>-30.220141603522279</v>
      </c>
      <c r="Q243" s="31">
        <v>-41.417351174957368</v>
      </c>
      <c r="R243" s="31">
        <v>2.4269701117953667E-14</v>
      </c>
      <c r="S243" s="31">
        <v>63.850004564280091</v>
      </c>
      <c r="T243" s="26" t="s">
        <v>46</v>
      </c>
      <c r="U243" s="26" t="s">
        <v>46</v>
      </c>
    </row>
    <row r="244" spans="1:21" x14ac:dyDescent="0.2">
      <c r="A244" s="31">
        <v>0.51390982595587231</v>
      </c>
      <c r="B244" s="28" t="s">
        <v>1603</v>
      </c>
      <c r="C244" s="32">
        <v>0</v>
      </c>
      <c r="D244" s="32">
        <v>861.33493458686792</v>
      </c>
      <c r="E244" s="31">
        <v>0.50000000052480864</v>
      </c>
      <c r="F244" s="31">
        <v>0</v>
      </c>
      <c r="G244" s="31">
        <v>0</v>
      </c>
      <c r="H244" s="31">
        <v>0</v>
      </c>
      <c r="I244" s="48">
        <v>0</v>
      </c>
      <c r="J244" s="47" t="s">
        <v>1604</v>
      </c>
      <c r="K244" s="32">
        <v>0.39129831390380854</v>
      </c>
      <c r="L244" s="32">
        <v>0.39130502548270979</v>
      </c>
      <c r="M244" s="31">
        <v>-1.0348763592243904E-3</v>
      </c>
      <c r="N244" s="31">
        <v>1.0601523359767946E-4</v>
      </c>
      <c r="O244" s="31">
        <v>0.29100636396111246</v>
      </c>
      <c r="P244" s="31">
        <v>-0.17249299401198534</v>
      </c>
      <c r="Q244" s="31">
        <v>-5.3035266936071308E-2</v>
      </c>
      <c r="R244" s="31">
        <v>0</v>
      </c>
      <c r="S244" s="31">
        <v>9.9980467404873208E-3</v>
      </c>
      <c r="T244" s="27" t="s">
        <v>47</v>
      </c>
      <c r="U244" s="26" t="s">
        <v>46</v>
      </c>
    </row>
    <row r="245" spans="1:21" x14ac:dyDescent="0.2">
      <c r="A245" s="31">
        <v>0.58243113608332198</v>
      </c>
      <c r="B245" s="28" t="s">
        <v>1605</v>
      </c>
      <c r="C245" s="32">
        <v>0</v>
      </c>
      <c r="D245" s="32">
        <v>0</v>
      </c>
      <c r="E245" s="31">
        <v>0.50000000052480864</v>
      </c>
      <c r="F245" s="31">
        <v>0</v>
      </c>
      <c r="G245" s="31">
        <v>0</v>
      </c>
      <c r="H245" s="31">
        <v>0</v>
      </c>
      <c r="I245" s="48">
        <v>0</v>
      </c>
      <c r="J245" s="47" t="s">
        <v>1606</v>
      </c>
      <c r="K245" s="32">
        <v>0.38715562171936035</v>
      </c>
      <c r="L245" s="32">
        <v>0.38715591985331466</v>
      </c>
      <c r="M245" s="31">
        <v>-5.427910387901913E-3</v>
      </c>
      <c r="N245" s="31">
        <v>4.7972425740603605E-4</v>
      </c>
      <c r="O245" s="31">
        <v>1.3028772012600824</v>
      </c>
      <c r="P245" s="31">
        <v>-0.76378037563646184</v>
      </c>
      <c r="Q245" s="31">
        <v>-0.28066626083493013</v>
      </c>
      <c r="R245" s="31">
        <v>0</v>
      </c>
      <c r="S245" s="31">
        <v>5.9999611567200906E-2</v>
      </c>
      <c r="T245" s="27" t="s">
        <v>47</v>
      </c>
      <c r="U245" s="26" t="s">
        <v>46</v>
      </c>
    </row>
    <row r="246" spans="1:21" x14ac:dyDescent="0.2">
      <c r="A246" s="31">
        <v>0.61669179114704675</v>
      </c>
      <c r="B246" s="28" t="s">
        <v>1607</v>
      </c>
      <c r="C246" s="32">
        <v>0</v>
      </c>
      <c r="D246" s="32">
        <v>0</v>
      </c>
      <c r="E246" s="31">
        <v>0.50000000052480864</v>
      </c>
      <c r="F246" s="31">
        <v>0</v>
      </c>
      <c r="G246" s="31">
        <v>0</v>
      </c>
      <c r="H246" s="31">
        <v>0</v>
      </c>
      <c r="I246" s="48">
        <v>0</v>
      </c>
      <c r="J246" s="47" t="s">
        <v>1608</v>
      </c>
      <c r="K246" s="32">
        <v>0.36790698013305662</v>
      </c>
      <c r="L246" s="32">
        <v>0.36790523334927727</v>
      </c>
      <c r="M246" s="31">
        <v>-8.2303801453948999E-3</v>
      </c>
      <c r="N246" s="31">
        <v>7.2931756262406241E-4</v>
      </c>
      <c r="O246" s="31">
        <v>1.8822657286852393</v>
      </c>
      <c r="P246" s="31">
        <v>-1.0482934614246906</v>
      </c>
      <c r="Q246" s="31">
        <v>-0.42525691488255357</v>
      </c>
      <c r="R246" s="31">
        <v>0</v>
      </c>
      <c r="S246" s="31">
        <v>9.0003287870303206E-2</v>
      </c>
      <c r="T246" s="27" t="s">
        <v>47</v>
      </c>
      <c r="U246" s="26" t="s">
        <v>46</v>
      </c>
    </row>
    <row r="247" spans="1:21" x14ac:dyDescent="0.2">
      <c r="A247" s="31">
        <v>0.71947375633822119</v>
      </c>
      <c r="B247" s="28" t="s">
        <v>1609</v>
      </c>
      <c r="C247" s="32">
        <v>0</v>
      </c>
      <c r="D247" s="32">
        <v>0</v>
      </c>
      <c r="E247" s="31">
        <v>0.50000000052480864</v>
      </c>
      <c r="F247" s="31">
        <v>0</v>
      </c>
      <c r="G247" s="31">
        <v>0</v>
      </c>
      <c r="H247" s="31">
        <v>0</v>
      </c>
      <c r="I247" s="48">
        <v>0</v>
      </c>
      <c r="J247" s="47" t="s">
        <v>1610</v>
      </c>
      <c r="K247" s="32">
        <v>0.31145421619415292</v>
      </c>
      <c r="L247" s="32">
        <v>0.31145254810307188</v>
      </c>
      <c r="M247" s="31">
        <v>-2.6461888717301041E-2</v>
      </c>
      <c r="N247" s="31">
        <v>2.3496313320977655E-3</v>
      </c>
      <c r="O247" s="31">
        <v>5.1335781121605342</v>
      </c>
      <c r="P247" s="31">
        <v>-2.4176808613402239</v>
      </c>
      <c r="Q247" s="31">
        <v>-1.3641847054143741</v>
      </c>
      <c r="R247" s="31">
        <v>0</v>
      </c>
      <c r="S247" s="31">
        <v>0.28000856319790091</v>
      </c>
      <c r="T247" s="27" t="s">
        <v>47</v>
      </c>
      <c r="U247" s="26" t="s">
        <v>46</v>
      </c>
    </row>
    <row r="248" spans="1:21" x14ac:dyDescent="0.2">
      <c r="A248" s="31">
        <v>0.75373441140194597</v>
      </c>
      <c r="B248" s="28" t="s">
        <v>1611</v>
      </c>
      <c r="C248" s="32">
        <v>0</v>
      </c>
      <c r="D248" s="32">
        <v>0</v>
      </c>
      <c r="E248" s="31">
        <v>0.50000000052480864</v>
      </c>
      <c r="F248" s="31">
        <v>0</v>
      </c>
      <c r="G248" s="31">
        <v>0</v>
      </c>
      <c r="H248" s="31">
        <v>0</v>
      </c>
      <c r="I248" s="48">
        <v>0</v>
      </c>
      <c r="J248" s="47" t="s">
        <v>1612</v>
      </c>
      <c r="K248" s="32">
        <v>0.30745600326061251</v>
      </c>
      <c r="L248" s="32">
        <v>0.30745614715175018</v>
      </c>
      <c r="M248" s="31">
        <v>-4.5060666982724262E-2</v>
      </c>
      <c r="N248" s="31">
        <v>3.6848758797587834E-3</v>
      </c>
      <c r="O248" s="31">
        <v>7.9475281809911467</v>
      </c>
      <c r="P248" s="31">
        <v>-3.6931346231255255</v>
      </c>
      <c r="Q248" s="31">
        <v>-2.3339334402830261</v>
      </c>
      <c r="R248" s="31">
        <v>0</v>
      </c>
      <c r="S248" s="31">
        <v>0.50999885642046361</v>
      </c>
      <c r="T248" s="27" t="s">
        <v>47</v>
      </c>
      <c r="U248" s="26" t="s">
        <v>46</v>
      </c>
    </row>
    <row r="249" spans="1:21" x14ac:dyDescent="0.2">
      <c r="A249" s="31">
        <v>0.78799506646567086</v>
      </c>
      <c r="B249" s="28" t="s">
        <v>1613</v>
      </c>
      <c r="C249" s="32">
        <v>0</v>
      </c>
      <c r="D249" s="32">
        <v>0</v>
      </c>
      <c r="E249" s="31">
        <v>0.50000000052480864</v>
      </c>
      <c r="F249" s="31">
        <v>0</v>
      </c>
      <c r="G249" s="31">
        <v>0</v>
      </c>
      <c r="H249" s="31">
        <v>0</v>
      </c>
      <c r="I249" s="48">
        <v>0</v>
      </c>
      <c r="J249" s="47" t="s">
        <v>1614</v>
      </c>
      <c r="K249" s="32">
        <v>0.27730275444984442</v>
      </c>
      <c r="L249" s="32">
        <v>0.2773029915236021</v>
      </c>
      <c r="M249" s="31">
        <v>-5.688420979709452E-2</v>
      </c>
      <c r="N249" s="31">
        <v>4.9185899364017254E-3</v>
      </c>
      <c r="O249" s="31">
        <v>9.567997116196592</v>
      </c>
      <c r="P249" s="31">
        <v>-4.0073240336293958</v>
      </c>
      <c r="Q249" s="31">
        <v>-2.9319039420894546</v>
      </c>
      <c r="R249" s="31">
        <v>0</v>
      </c>
      <c r="S249" s="31">
        <v>0.59999773167679737</v>
      </c>
      <c r="T249" s="27" t="s">
        <v>47</v>
      </c>
      <c r="U249" s="26" t="s">
        <v>46</v>
      </c>
    </row>
    <row r="250" spans="1:21" x14ac:dyDescent="0.2">
      <c r="A250" s="31">
        <v>0.82225572152939563</v>
      </c>
      <c r="B250" s="28" t="s">
        <v>1615</v>
      </c>
      <c r="C250" s="32">
        <v>0</v>
      </c>
      <c r="D250" s="32">
        <v>0</v>
      </c>
      <c r="E250" s="31">
        <v>0.50000000052480864</v>
      </c>
      <c r="F250" s="31">
        <v>0</v>
      </c>
      <c r="G250" s="31">
        <v>0</v>
      </c>
      <c r="H250" s="31">
        <v>0</v>
      </c>
      <c r="I250" s="48">
        <v>0</v>
      </c>
      <c r="J250" s="47" t="s">
        <v>1616</v>
      </c>
      <c r="K250" s="32">
        <v>0.27817964336872103</v>
      </c>
      <c r="L250" s="32">
        <v>0.27818016866177664</v>
      </c>
      <c r="M250" s="31">
        <v>-9.5028109334584832E-2</v>
      </c>
      <c r="N250" s="31">
        <v>7.2558802131726993E-3</v>
      </c>
      <c r="O250" s="31">
        <v>14.159296816427442</v>
      </c>
      <c r="P250" s="31">
        <v>-5.9449755479364388</v>
      </c>
      <c r="Q250" s="31">
        <v>-4.9333592188196933</v>
      </c>
      <c r="R250" s="31">
        <v>0</v>
      </c>
      <c r="S250" s="31">
        <v>1.1099925622091105</v>
      </c>
      <c r="T250" s="27" t="s">
        <v>47</v>
      </c>
      <c r="U250" s="26" t="s">
        <v>46</v>
      </c>
    </row>
    <row r="251" spans="1:21" x14ac:dyDescent="0.2">
      <c r="A251" s="31">
        <v>0.85651637659312052</v>
      </c>
      <c r="B251" s="46" t="s">
        <v>1617</v>
      </c>
      <c r="C251" s="32">
        <v>0</v>
      </c>
      <c r="D251" s="32">
        <v>3.4500167130454888E-2</v>
      </c>
      <c r="E251" s="31">
        <v>0.50000000052480864</v>
      </c>
      <c r="F251" s="31">
        <v>0</v>
      </c>
      <c r="G251" s="31">
        <v>0</v>
      </c>
      <c r="H251" s="31">
        <v>0</v>
      </c>
      <c r="I251" s="48">
        <v>0</v>
      </c>
      <c r="J251" s="47" t="s">
        <v>1618</v>
      </c>
      <c r="K251" s="32">
        <v>0.26483891570568086</v>
      </c>
      <c r="L251" s="32">
        <v>0.26483945440239282</v>
      </c>
      <c r="M251" s="31">
        <v>-0.13566751252178555</v>
      </c>
      <c r="N251" s="31">
        <v>9.8213249392610641E-3</v>
      </c>
      <c r="O251" s="31">
        <v>18.246438872101933</v>
      </c>
      <c r="P251" s="31">
        <v>-7.2865951767715034</v>
      </c>
      <c r="Q251" s="31">
        <v>-7.0580628218177601</v>
      </c>
      <c r="R251" s="31">
        <v>0</v>
      </c>
      <c r="S251" s="31">
        <v>1.6299901706929507</v>
      </c>
      <c r="T251" s="26" t="s">
        <v>46</v>
      </c>
      <c r="U251" s="26" t="s">
        <v>46</v>
      </c>
    </row>
    <row r="252" spans="1:21" x14ac:dyDescent="0.2">
      <c r="A252" s="31">
        <v>0.8907770316568453</v>
      </c>
      <c r="B252" s="46" t="s">
        <v>1619</v>
      </c>
      <c r="C252" s="32">
        <v>0.15231246705055237</v>
      </c>
      <c r="D252" s="32">
        <v>0.15231185914591017</v>
      </c>
      <c r="E252" s="31">
        <v>0.91551713794072609</v>
      </c>
      <c r="F252" s="31">
        <v>1.2142214281884361E-2</v>
      </c>
      <c r="G252" s="31">
        <v>12.973572433360365</v>
      </c>
      <c r="H252" s="31">
        <v>-3.269006039366849</v>
      </c>
      <c r="I252" s="48">
        <v>38.555661612568805</v>
      </c>
      <c r="J252" s="47" t="s">
        <v>1620</v>
      </c>
      <c r="K252" s="32">
        <v>0.25466957912445076</v>
      </c>
      <c r="L252" s="32">
        <v>0.25466981003240019</v>
      </c>
      <c r="M252" s="31">
        <v>-0.19225499782090272</v>
      </c>
      <c r="N252" s="31">
        <v>1.281462925178619E-2</v>
      </c>
      <c r="O252" s="31">
        <v>22.893350206112292</v>
      </c>
      <c r="P252" s="31">
        <v>-8.7806038955198868</v>
      </c>
      <c r="Q252" s="31">
        <v>-10.041579108002573</v>
      </c>
      <c r="R252" s="31">
        <v>16.550007886667046</v>
      </c>
      <c r="S252" s="31">
        <v>2.4299947137419418</v>
      </c>
      <c r="T252" s="26" t="s">
        <v>46</v>
      </c>
      <c r="U252" s="26" t="s">
        <v>46</v>
      </c>
    </row>
    <row r="253" spans="1:21" x14ac:dyDescent="0.2">
      <c r="A253" s="31">
        <v>0.92503768672057007</v>
      </c>
      <c r="B253" s="46" t="s">
        <v>1621</v>
      </c>
      <c r="C253" s="32">
        <v>0.10698031396865845</v>
      </c>
      <c r="D253" s="32">
        <v>0.10698056034365042</v>
      </c>
      <c r="E253" s="31">
        <v>0.90527027819206085</v>
      </c>
      <c r="F253" s="31">
        <v>1.8823711274998736E-2</v>
      </c>
      <c r="G253" s="31">
        <v>14.126525456264398</v>
      </c>
      <c r="H253" s="31">
        <v>-2.5717319642816587</v>
      </c>
      <c r="I253" s="48">
        <v>39.742886183754003</v>
      </c>
      <c r="J253" s="47" t="s">
        <v>1622</v>
      </c>
      <c r="K253" s="32">
        <v>0.24510104734897614</v>
      </c>
      <c r="L253" s="32">
        <v>0.24510088570371075</v>
      </c>
      <c r="M253" s="31">
        <v>-0.26445644152493275</v>
      </c>
      <c r="N253" s="31">
        <v>1.5938863427134971E-2</v>
      </c>
      <c r="O253" s="31">
        <v>27.404933455292351</v>
      </c>
      <c r="P253" s="31">
        <v>-10.099924996271954</v>
      </c>
      <c r="Q253" s="31">
        <v>-13.881020970484856</v>
      </c>
      <c r="R253" s="31">
        <v>11.449996519570817</v>
      </c>
      <c r="S253" s="31">
        <v>3.5500044298772768</v>
      </c>
      <c r="T253" s="26" t="s">
        <v>46</v>
      </c>
      <c r="U253" s="26" t="s">
        <v>46</v>
      </c>
    </row>
    <row r="254" spans="1:21" x14ac:dyDescent="0.2">
      <c r="A254" s="31">
        <v>0.95929834178429496</v>
      </c>
      <c r="B254" s="46" t="s">
        <v>1623</v>
      </c>
      <c r="C254" s="32">
        <v>0.17175386684536931</v>
      </c>
      <c r="D254" s="32">
        <v>0.17175385212044914</v>
      </c>
      <c r="E254" s="31">
        <v>0.68386336923164648</v>
      </c>
      <c r="F254" s="31">
        <v>2.4732369983830868E-2</v>
      </c>
      <c r="G254" s="31">
        <v>29.798780669228787</v>
      </c>
      <c r="H254" s="31">
        <v>-7.9780806254401044</v>
      </c>
      <c r="I254" s="48">
        <v>29.857936856756069</v>
      </c>
      <c r="J254" s="47" t="s">
        <v>1624</v>
      </c>
      <c r="K254" s="32">
        <v>0.23869460848569871</v>
      </c>
      <c r="L254" s="32">
        <v>0.23869439793293129</v>
      </c>
      <c r="M254" s="31">
        <v>-0.35295351454222079</v>
      </c>
      <c r="N254" s="31">
        <v>1.8583719077474258E-2</v>
      </c>
      <c r="O254" s="31">
        <v>31.117269177227023</v>
      </c>
      <c r="P254" s="31">
        <v>-11.145200848571783</v>
      </c>
      <c r="Q254" s="31">
        <v>-18.661838987633871</v>
      </c>
      <c r="R254" s="31">
        <v>9.150000438784673</v>
      </c>
      <c r="S254" s="31">
        <v>5.1500065518268698</v>
      </c>
      <c r="T254" s="26" t="s">
        <v>46</v>
      </c>
      <c r="U254" s="26" t="s">
        <v>46</v>
      </c>
    </row>
    <row r="255" spans="1:21" x14ac:dyDescent="0.2">
      <c r="A255" s="31">
        <v>0.99355899684801974</v>
      </c>
      <c r="B255" s="46" t="s">
        <v>1625</v>
      </c>
      <c r="C255" s="32">
        <v>0.17156754583120343</v>
      </c>
      <c r="D255" s="32">
        <v>0.17156778793914448</v>
      </c>
      <c r="E255" s="31">
        <v>0.54876916835932477</v>
      </c>
      <c r="F255" s="31">
        <v>2.7555003366124035E-2</v>
      </c>
      <c r="G255" s="31">
        <v>33.163613328141338</v>
      </c>
      <c r="H255" s="31">
        <v>-8.8073533069241936</v>
      </c>
      <c r="I255" s="48">
        <v>24.319454838818267</v>
      </c>
      <c r="J255" s="47" t="s">
        <v>1626</v>
      </c>
      <c r="K255" s="32">
        <v>0.23487019979953766</v>
      </c>
      <c r="L255" s="32">
        <v>0.23487014403467982</v>
      </c>
      <c r="M255" s="31">
        <v>-0.4518631129439159</v>
      </c>
      <c r="N255" s="31">
        <v>2.0132240891055912E-2</v>
      </c>
      <c r="O255" s="31">
        <v>33.170061057015261</v>
      </c>
      <c r="P255" s="31">
        <v>-11.658320036002568</v>
      </c>
      <c r="Q255" s="31">
        <v>-24.124317387190452</v>
      </c>
      <c r="R255" s="31">
        <v>6.2499919708258318</v>
      </c>
      <c r="S255" s="31">
        <v>7.3000018497237411</v>
      </c>
      <c r="T255" s="26" t="s">
        <v>46</v>
      </c>
      <c r="U255" s="26" t="s">
        <v>46</v>
      </c>
    </row>
    <row r="256" spans="1:21" x14ac:dyDescent="0.2">
      <c r="A256" s="31">
        <v>1.0278196519117446</v>
      </c>
      <c r="B256" s="46" t="s">
        <v>1627</v>
      </c>
      <c r="C256" s="32">
        <v>0.1686085821628571</v>
      </c>
      <c r="D256" s="32">
        <v>0.16860855420643123</v>
      </c>
      <c r="E256" s="31">
        <v>0.41007218289833269</v>
      </c>
      <c r="F256" s="31">
        <v>2.75291265280183E-2</v>
      </c>
      <c r="G256" s="31">
        <v>32.561045690563617</v>
      </c>
      <c r="H256" s="31">
        <v>-8.462886441332472</v>
      </c>
      <c r="I256" s="48">
        <v>18.410169823545115</v>
      </c>
      <c r="J256" s="47" t="s">
        <v>1628</v>
      </c>
      <c r="K256" s="32">
        <v>0.23559116556644438</v>
      </c>
      <c r="L256" s="32">
        <v>0.23559102572006477</v>
      </c>
      <c r="M256" s="31">
        <v>-0.55161417157685111</v>
      </c>
      <c r="N256" s="31">
        <v>2.0048541998562361E-2</v>
      </c>
      <c r="O256" s="31">
        <v>33.133554675088739</v>
      </c>
      <c r="P256" s="31">
        <v>-11.641645050243767</v>
      </c>
      <c r="Q256" s="31">
        <v>-29.841320312266358</v>
      </c>
      <c r="R256" s="31">
        <v>3.9500009102904343</v>
      </c>
      <c r="S256" s="31">
        <v>10.100004633607623</v>
      </c>
      <c r="T256" s="26" t="s">
        <v>46</v>
      </c>
      <c r="U256" s="26" t="s">
        <v>46</v>
      </c>
    </row>
    <row r="257" spans="1:21" x14ac:dyDescent="0.2">
      <c r="A257" s="31">
        <v>1.0620803069754694</v>
      </c>
      <c r="B257" s="46" t="s">
        <v>1629</v>
      </c>
      <c r="C257" s="32">
        <v>0.16598006113767624</v>
      </c>
      <c r="D257" s="32">
        <v>0.16597979115507924</v>
      </c>
      <c r="E257" s="31">
        <v>0.28206866801446584</v>
      </c>
      <c r="F257" s="31">
        <v>2.430075828684071E-2</v>
      </c>
      <c r="G257" s="31">
        <v>28.294497230460234</v>
      </c>
      <c r="H257" s="31">
        <v>-7.2187005713571892</v>
      </c>
      <c r="I257" s="48">
        <v>12.794215874784276</v>
      </c>
      <c r="J257" s="47" t="s">
        <v>1630</v>
      </c>
      <c r="K257" s="32">
        <v>0.24043622717857357</v>
      </c>
      <c r="L257" s="32">
        <v>0.24043625166044058</v>
      </c>
      <c r="M257" s="31">
        <v>-0.64132505924475069</v>
      </c>
      <c r="N257" s="31">
        <v>1.8554135505980028E-2</v>
      </c>
      <c r="O257" s="31">
        <v>31.294416913215841</v>
      </c>
      <c r="P257" s="31">
        <v>-11.176130363301885</v>
      </c>
      <c r="Q257" s="31">
        <v>-35.273349165252768</v>
      </c>
      <c r="R257" s="31">
        <v>2.3200076390194369</v>
      </c>
      <c r="S257" s="31">
        <v>13.49999923385425</v>
      </c>
      <c r="T257" s="26" t="s">
        <v>46</v>
      </c>
      <c r="U257" s="26" t="s">
        <v>46</v>
      </c>
    </row>
    <row r="258" spans="1:21" x14ac:dyDescent="0.2">
      <c r="A258" s="31">
        <v>1.0963409620391942</v>
      </c>
      <c r="B258" s="46" t="s">
        <v>1631</v>
      </c>
      <c r="C258" s="32">
        <v>0.1631341059923172</v>
      </c>
      <c r="D258" s="32">
        <v>0.16313387168460908</v>
      </c>
      <c r="E258" s="31">
        <v>0.17682650569601044</v>
      </c>
      <c r="F258" s="31">
        <v>1.8990617833482666E-2</v>
      </c>
      <c r="G258" s="31">
        <v>21.732520443534064</v>
      </c>
      <c r="H258" s="31">
        <v>-5.4385238431048553</v>
      </c>
      <c r="I258" s="48">
        <v>8.0879088935927363</v>
      </c>
      <c r="J258" s="47" t="s">
        <v>1632</v>
      </c>
      <c r="K258" s="32">
        <v>0.14144076104164124</v>
      </c>
      <c r="L258" s="32">
        <v>0.14144123808863132</v>
      </c>
      <c r="M258" s="31">
        <v>-0.86063792587615773</v>
      </c>
      <c r="N258" s="31">
        <v>1.8730240751513288E-2</v>
      </c>
      <c r="O258" s="31">
        <v>18.584213219824587</v>
      </c>
      <c r="P258" s="31">
        <v>-3.6675436648066486</v>
      </c>
      <c r="Q258" s="31">
        <v>-46.226878413966993</v>
      </c>
      <c r="R258" s="31">
        <v>1.2500050920935912</v>
      </c>
      <c r="S258" s="31">
        <v>14.749991134438169</v>
      </c>
      <c r="T258" s="26" t="s">
        <v>46</v>
      </c>
      <c r="U258" s="26" t="s">
        <v>46</v>
      </c>
    </row>
    <row r="259" spans="1:21" x14ac:dyDescent="0.2">
      <c r="A259" s="31">
        <v>1.130601617102919</v>
      </c>
      <c r="B259" s="46" t="s">
        <v>1633</v>
      </c>
      <c r="C259" s="32">
        <v>0.16204264392852785</v>
      </c>
      <c r="D259" s="32">
        <v>0.16204310413339243</v>
      </c>
      <c r="E259" s="31">
        <v>0.10288336415972432</v>
      </c>
      <c r="F259" s="31">
        <v>1.320148020372384E-2</v>
      </c>
      <c r="G259" s="31">
        <v>15.006457578070783</v>
      </c>
      <c r="H259" s="31">
        <v>-3.7245372786087199</v>
      </c>
      <c r="I259" s="48">
        <v>4.7345588657462452</v>
      </c>
      <c r="J259" s="29" t="s">
        <v>1634</v>
      </c>
      <c r="K259" s="32">
        <v>0</v>
      </c>
      <c r="L259" s="32">
        <v>0</v>
      </c>
      <c r="M259" s="31">
        <v>-0.50000000052480864</v>
      </c>
      <c r="N259" s="31">
        <v>0</v>
      </c>
      <c r="O259" s="31">
        <v>0</v>
      </c>
      <c r="P259" s="31">
        <v>0</v>
      </c>
      <c r="Q259" s="31">
        <v>0</v>
      </c>
      <c r="R259" s="31">
        <v>0.63999309393836867</v>
      </c>
      <c r="S259" s="31">
        <v>0</v>
      </c>
      <c r="T259" s="26" t="s">
        <v>46</v>
      </c>
      <c r="U259" s="27" t="s">
        <v>47</v>
      </c>
    </row>
    <row r="260" spans="1:21" x14ac:dyDescent="0.2">
      <c r="A260" s="31">
        <v>1.164862272166644</v>
      </c>
      <c r="B260" s="46" t="s">
        <v>1635</v>
      </c>
      <c r="C260" s="32">
        <v>0.16155627813339235</v>
      </c>
      <c r="D260" s="32">
        <v>0.16155549989342891</v>
      </c>
      <c r="E260" s="31">
        <v>5.576452558589462E-2</v>
      </c>
      <c r="F260" s="31">
        <v>8.3112259989931072E-3</v>
      </c>
      <c r="G260" s="31">
        <v>9.4192249047345893</v>
      </c>
      <c r="H260" s="31">
        <v>-2.3281086160051512</v>
      </c>
      <c r="I260" s="31">
        <v>2.5783564460534509</v>
      </c>
      <c r="J260" s="29" t="s">
        <v>1636</v>
      </c>
      <c r="K260" s="32">
        <v>0</v>
      </c>
      <c r="L260" s="32">
        <v>0</v>
      </c>
      <c r="M260" s="31">
        <v>-0.50000000052480864</v>
      </c>
      <c r="N260" s="31">
        <v>0</v>
      </c>
      <c r="O260" s="31">
        <v>0</v>
      </c>
      <c r="P260" s="31">
        <v>0</v>
      </c>
      <c r="Q260" s="31">
        <v>0</v>
      </c>
      <c r="R260" s="31">
        <v>0.31000733036992401</v>
      </c>
      <c r="S260" s="31">
        <v>0</v>
      </c>
      <c r="T260" s="26" t="s">
        <v>46</v>
      </c>
      <c r="U260" s="27" t="s">
        <v>47</v>
      </c>
    </row>
    <row r="261" spans="1:21" x14ac:dyDescent="0.2">
      <c r="A261" s="31">
        <v>1.1991229272303687</v>
      </c>
      <c r="B261" s="46" t="s">
        <v>1637</v>
      </c>
      <c r="C261" s="32">
        <v>0.1708973623752594</v>
      </c>
      <c r="D261" s="32">
        <v>0.17089627662576751</v>
      </c>
      <c r="E261" s="31">
        <v>3.6349452043135222E-2</v>
      </c>
      <c r="F261" s="31">
        <v>5.568386447312809E-3</v>
      </c>
      <c r="G261" s="31">
        <v>6.6756101005390258</v>
      </c>
      <c r="H261" s="31">
        <v>-1.7436250072395407</v>
      </c>
      <c r="I261" s="31">
        <v>1.6813520341341435</v>
      </c>
      <c r="J261" s="47" t="s">
        <v>1638</v>
      </c>
      <c r="K261" s="32">
        <v>0.22985920162200929</v>
      </c>
      <c r="L261" s="32">
        <v>0.22985912467611627</v>
      </c>
      <c r="M261" s="31">
        <v>-0.90402791013910966</v>
      </c>
      <c r="N261" s="31">
        <v>8.8453105225705739E-3</v>
      </c>
      <c r="O261" s="31">
        <v>14.262682454847765</v>
      </c>
      <c r="P261" s="31">
        <v>-4.6049887320596987</v>
      </c>
      <c r="Q261" s="31">
        <v>-53.253009486797673</v>
      </c>
      <c r="R261" s="31">
        <v>0.20000724796205915</v>
      </c>
      <c r="S261" s="31">
        <v>29.750001097454497</v>
      </c>
      <c r="T261" s="26" t="s">
        <v>46</v>
      </c>
      <c r="U261" s="26" t="s">
        <v>46</v>
      </c>
    </row>
    <row r="262" spans="1:21" x14ac:dyDescent="0.2">
      <c r="A262" s="31">
        <v>1.2333835822940935</v>
      </c>
      <c r="B262" s="46" t="s">
        <v>1639</v>
      </c>
      <c r="C262" s="32">
        <v>0.16697496528625491</v>
      </c>
      <c r="D262" s="32">
        <v>0.16697708537825962</v>
      </c>
      <c r="E262" s="31">
        <v>1.645706975004968E-2</v>
      </c>
      <c r="F262" s="31">
        <v>2.9320740741258931E-3</v>
      </c>
      <c r="G262" s="31">
        <v>3.4344131246303369</v>
      </c>
      <c r="H262" s="31">
        <v>-0.87589530323094211</v>
      </c>
      <c r="I262" s="31">
        <v>0.76470431837176367</v>
      </c>
      <c r="J262" s="29" t="s">
        <v>1640</v>
      </c>
      <c r="K262" s="32">
        <v>0</v>
      </c>
      <c r="L262" s="32">
        <v>0</v>
      </c>
      <c r="M262" s="31">
        <v>-0.50000000052480864</v>
      </c>
      <c r="N262" s="31">
        <v>0</v>
      </c>
      <c r="O262" s="31">
        <v>0</v>
      </c>
      <c r="P262" s="31">
        <v>0</v>
      </c>
      <c r="Q262" s="31">
        <v>0</v>
      </c>
      <c r="R262" s="31">
        <v>7.9992718508406391E-2</v>
      </c>
      <c r="S262" s="31">
        <v>0</v>
      </c>
      <c r="T262" s="26" t="s">
        <v>46</v>
      </c>
      <c r="U262" s="27" t="s">
        <v>47</v>
      </c>
    </row>
    <row r="263" spans="1:21" x14ac:dyDescent="0.2">
      <c r="A263" s="31">
        <v>1.2676442373578183</v>
      </c>
      <c r="B263" s="46" t="s">
        <v>1641</v>
      </c>
      <c r="C263" s="32">
        <v>0.15695010795593264</v>
      </c>
      <c r="D263" s="32">
        <v>0.15694335310084395</v>
      </c>
      <c r="E263" s="31">
        <v>4.9472605835833017E-3</v>
      </c>
      <c r="F263" s="31">
        <v>1.0896351968480566E-3</v>
      </c>
      <c r="G263" s="31">
        <v>1.1996898302019443</v>
      </c>
      <c r="H263" s="31">
        <v>-0.28745462782056763</v>
      </c>
      <c r="I263" s="31">
        <v>0.2312139669851187</v>
      </c>
      <c r="J263" s="29" t="s">
        <v>1642</v>
      </c>
      <c r="K263" s="32">
        <v>0</v>
      </c>
      <c r="L263" s="32">
        <v>0</v>
      </c>
      <c r="M263" s="31">
        <v>-0.50000000052480864</v>
      </c>
      <c r="N263" s="31">
        <v>0</v>
      </c>
      <c r="O263" s="31">
        <v>0</v>
      </c>
      <c r="P263" s="31">
        <v>0</v>
      </c>
      <c r="Q263" s="31">
        <v>0</v>
      </c>
      <c r="R263" s="31">
        <v>2.0008102530180705E-2</v>
      </c>
      <c r="S263" s="31">
        <v>0</v>
      </c>
      <c r="T263" s="26" t="s">
        <v>46</v>
      </c>
      <c r="U263" s="27" t="s">
        <v>47</v>
      </c>
    </row>
    <row r="264" spans="1:21" x14ac:dyDescent="0.2">
      <c r="A264" s="31">
        <v>1.3361655474852678</v>
      </c>
      <c r="B264" s="46" t="s">
        <v>1643</v>
      </c>
      <c r="C264" s="32">
        <v>9.3848437499999993E-2</v>
      </c>
      <c r="D264" s="32">
        <v>8.9228206164726029E-2</v>
      </c>
      <c r="E264" s="31">
        <v>4.6650218687993572E-8</v>
      </c>
      <c r="F264" s="31">
        <v>3.2664604262068541E-8</v>
      </c>
      <c r="G264" s="31">
        <v>2.1504566031779417E-5</v>
      </c>
      <c r="H264" s="31">
        <v>-3.0792410326664856E-6</v>
      </c>
      <c r="I264" s="31">
        <v>2.2215245692909494E-6</v>
      </c>
      <c r="J264" s="29" t="s">
        <v>1644</v>
      </c>
      <c r="K264" s="32">
        <v>0</v>
      </c>
      <c r="L264" s="32">
        <v>0</v>
      </c>
      <c r="M264" s="31">
        <v>-0.50000000052480864</v>
      </c>
      <c r="N264" s="31">
        <v>0</v>
      </c>
      <c r="O264" s="31">
        <v>0</v>
      </c>
      <c r="P264" s="31">
        <v>0</v>
      </c>
      <c r="Q264" s="31">
        <v>0</v>
      </c>
      <c r="R264" s="31">
        <v>6.3805471000405063E-8</v>
      </c>
      <c r="S264" s="31">
        <v>0</v>
      </c>
      <c r="T264" s="26" t="s">
        <v>46</v>
      </c>
      <c r="U264" s="27" t="s">
        <v>47</v>
      </c>
    </row>
    <row r="265" spans="1:21" x14ac:dyDescent="0.2">
      <c r="A265" s="31">
        <v>0.47964917089214748</v>
      </c>
      <c r="B265" s="46" t="s">
        <v>1645</v>
      </c>
      <c r="C265" s="32">
        <v>0</v>
      </c>
      <c r="D265" s="32">
        <v>0.15703973933330748</v>
      </c>
      <c r="E265" s="31">
        <v>0.50000000052480864</v>
      </c>
      <c r="F265" s="31">
        <v>0</v>
      </c>
      <c r="G265" s="31">
        <v>0</v>
      </c>
      <c r="H265" s="31">
        <v>0</v>
      </c>
      <c r="I265" s="31">
        <v>0</v>
      </c>
      <c r="J265" s="47" t="s">
        <v>1646</v>
      </c>
      <c r="K265" s="32">
        <v>0.43422438678741448</v>
      </c>
      <c r="L265" s="32">
        <v>0.43421899650899715</v>
      </c>
      <c r="M265" s="31">
        <v>-5.6615400510475755E-3</v>
      </c>
      <c r="N265" s="31">
        <v>3.575657173691418E-4</v>
      </c>
      <c r="O265" s="31">
        <v>1.6796863623762799</v>
      </c>
      <c r="P265" s="31">
        <v>-0.71585714805678846</v>
      </c>
      <c r="Q265" s="31">
        <v>-0.46539581898202353</v>
      </c>
      <c r="R265" s="31">
        <v>0</v>
      </c>
      <c r="S265" s="31">
        <v>9.0009053660743854E-2</v>
      </c>
      <c r="T265" s="26" t="s">
        <v>46</v>
      </c>
      <c r="U265" s="26" t="s">
        <v>46</v>
      </c>
    </row>
    <row r="266" spans="1:21" x14ac:dyDescent="0.2">
      <c r="A266" s="31">
        <v>0.51390982595587231</v>
      </c>
      <c r="B266" s="46" t="s">
        <v>1647</v>
      </c>
      <c r="C266" s="32">
        <v>0</v>
      </c>
      <c r="D266" s="32">
        <v>0</v>
      </c>
      <c r="E266" s="31">
        <v>0.50000000052480864</v>
      </c>
      <c r="F266" s="31">
        <v>0</v>
      </c>
      <c r="G266" s="31">
        <v>0</v>
      </c>
      <c r="H266" s="31">
        <v>0</v>
      </c>
      <c r="I266" s="31">
        <v>0</v>
      </c>
      <c r="J266" s="47" t="s">
        <v>1648</v>
      </c>
      <c r="K266" s="32">
        <v>0.39082911396026609</v>
      </c>
      <c r="L266" s="32">
        <v>0.3908320851277764</v>
      </c>
      <c r="M266" s="31">
        <v>-5.6476053283219807E-3</v>
      </c>
      <c r="N266" s="31">
        <v>3.9639932010001954E-4</v>
      </c>
      <c r="O266" s="31">
        <v>1.6760150792096931</v>
      </c>
      <c r="P266" s="31">
        <v>-0.64272089758531059</v>
      </c>
      <c r="Q266" s="31">
        <v>-0.45927647760178048</v>
      </c>
      <c r="R266" s="31">
        <v>0</v>
      </c>
      <c r="S266" s="31">
        <v>7.9995020170311126E-2</v>
      </c>
      <c r="T266" s="26" t="s">
        <v>46</v>
      </c>
      <c r="U266" s="26" t="s">
        <v>46</v>
      </c>
    </row>
    <row r="267" spans="1:21" x14ac:dyDescent="0.2">
      <c r="A267" s="31">
        <v>0.54817048101959709</v>
      </c>
      <c r="B267" s="46" t="s">
        <v>1649</v>
      </c>
      <c r="C267" s="32">
        <v>0</v>
      </c>
      <c r="D267" s="32">
        <v>0</v>
      </c>
      <c r="E267" s="31">
        <v>0.50000000052480864</v>
      </c>
      <c r="F267" s="31">
        <v>0</v>
      </c>
      <c r="G267" s="31">
        <v>0</v>
      </c>
      <c r="H267" s="31">
        <v>0</v>
      </c>
      <c r="I267" s="31">
        <v>0</v>
      </c>
      <c r="J267" s="47" t="s">
        <v>1650</v>
      </c>
      <c r="K267" s="32">
        <v>0.39007381649017325</v>
      </c>
      <c r="L267" s="32">
        <v>0.39007484869020587</v>
      </c>
      <c r="M267" s="31">
        <v>-1.0565093079293986E-2</v>
      </c>
      <c r="N267" s="31">
        <v>6.8916865449556418E-4</v>
      </c>
      <c r="O267" s="31">
        <v>2.9082412383520309</v>
      </c>
      <c r="P267" s="31">
        <v>-1.1127890197430881</v>
      </c>
      <c r="Q267" s="31">
        <v>-0.86443947854269099</v>
      </c>
      <c r="R267" s="31">
        <v>0</v>
      </c>
      <c r="S267" s="31">
        <v>0.15999699809471046</v>
      </c>
      <c r="T267" s="26" t="s">
        <v>46</v>
      </c>
      <c r="U267" s="26" t="s">
        <v>46</v>
      </c>
    </row>
    <row r="268" spans="1:21" x14ac:dyDescent="0.2">
      <c r="A268" s="31">
        <v>0.58243113608332198</v>
      </c>
      <c r="B268" s="46" t="s">
        <v>1651</v>
      </c>
      <c r="C268" s="32">
        <v>0</v>
      </c>
      <c r="D268" s="32">
        <v>0</v>
      </c>
      <c r="E268" s="31">
        <v>0.50000000052480864</v>
      </c>
      <c r="F268" s="31">
        <v>0</v>
      </c>
      <c r="G268" s="31">
        <v>0</v>
      </c>
      <c r="H268" s="31">
        <v>0</v>
      </c>
      <c r="I268" s="31">
        <v>0</v>
      </c>
      <c r="J268" s="47" t="s">
        <v>1652</v>
      </c>
      <c r="K268" s="32">
        <v>0.39648240108489985</v>
      </c>
      <c r="L268" s="32">
        <v>0.39648219485102487</v>
      </c>
      <c r="M268" s="31">
        <v>-1.9777436114270963E-2</v>
      </c>
      <c r="N268" s="31">
        <v>1.1630068541057794E-3</v>
      </c>
      <c r="O268" s="31">
        <v>4.9884348165159036</v>
      </c>
      <c r="P268" s="31">
        <v>-1.9395255237858233</v>
      </c>
      <c r="Q268" s="31">
        <v>-1.6336892384222379</v>
      </c>
      <c r="R268" s="31">
        <v>0</v>
      </c>
      <c r="S268" s="31">
        <v>0.33000102878327275</v>
      </c>
      <c r="T268" s="26" t="s">
        <v>46</v>
      </c>
      <c r="U268" s="26" t="s">
        <v>46</v>
      </c>
    </row>
    <row r="269" spans="1:21" x14ac:dyDescent="0.2">
      <c r="A269" s="31">
        <v>0.61669179114704675</v>
      </c>
      <c r="B269" s="46" t="s">
        <v>1653</v>
      </c>
      <c r="C269" s="32">
        <v>0</v>
      </c>
      <c r="D269" s="32">
        <v>0</v>
      </c>
      <c r="E269" s="31">
        <v>0.50000000052480864</v>
      </c>
      <c r="F269" s="31">
        <v>0</v>
      </c>
      <c r="G269" s="31">
        <v>0</v>
      </c>
      <c r="H269" s="31">
        <v>0</v>
      </c>
      <c r="I269" s="31">
        <v>0</v>
      </c>
      <c r="J269" s="47" t="s">
        <v>1654</v>
      </c>
      <c r="K269" s="32">
        <v>0.34981989450454715</v>
      </c>
      <c r="L269" s="32">
        <v>0.34982089221773233</v>
      </c>
      <c r="M269" s="31">
        <v>-1.9310729083637068E-2</v>
      </c>
      <c r="N269" s="31">
        <v>1.2916751658883765E-3</v>
      </c>
      <c r="O269" s="31">
        <v>4.8882783419649503</v>
      </c>
      <c r="P269" s="31">
        <v>-1.6761721208499589</v>
      </c>
      <c r="Q269" s="31">
        <v>-1.5736926880270674</v>
      </c>
      <c r="R269" s="31">
        <v>0</v>
      </c>
      <c r="S269" s="31">
        <v>0.27999512287407291</v>
      </c>
      <c r="T269" s="26" t="s">
        <v>46</v>
      </c>
      <c r="U269" s="26" t="s">
        <v>46</v>
      </c>
    </row>
    <row r="270" spans="1:21" x14ac:dyDescent="0.2">
      <c r="A270" s="31">
        <v>0.65095244621077153</v>
      </c>
      <c r="B270" s="46" t="s">
        <v>1655</v>
      </c>
      <c r="C270" s="32">
        <v>0</v>
      </c>
      <c r="D270" s="32">
        <v>0</v>
      </c>
      <c r="E270" s="31">
        <v>0.50000000052480864</v>
      </c>
      <c r="F270" s="31">
        <v>0</v>
      </c>
      <c r="G270" s="31">
        <v>0</v>
      </c>
      <c r="H270" s="31">
        <v>0</v>
      </c>
      <c r="I270" s="31">
        <v>0</v>
      </c>
      <c r="J270" s="47" t="s">
        <v>1656</v>
      </c>
      <c r="K270" s="32">
        <v>0.33096892848014836</v>
      </c>
      <c r="L270" s="32">
        <v>0.3309683469043026</v>
      </c>
      <c r="M270" s="31">
        <v>-2.6010307499783614E-2</v>
      </c>
      <c r="N270" s="31">
        <v>1.755055990879073E-3</v>
      </c>
      <c r="O270" s="31">
        <v>6.284001973671935</v>
      </c>
      <c r="P270" s="31">
        <v>-2.0377306815194074</v>
      </c>
      <c r="Q270" s="31">
        <v>-2.116040613313277</v>
      </c>
      <c r="R270" s="31">
        <v>0</v>
      </c>
      <c r="S270" s="31">
        <v>0.37000365461310614</v>
      </c>
      <c r="T270" s="26" t="s">
        <v>46</v>
      </c>
      <c r="U270" s="26" t="s">
        <v>46</v>
      </c>
    </row>
    <row r="271" spans="1:21" x14ac:dyDescent="0.2">
      <c r="A271" s="31">
        <v>0.68521310127449642</v>
      </c>
      <c r="B271" s="46" t="s">
        <v>1657</v>
      </c>
      <c r="C271" s="32">
        <v>0</v>
      </c>
      <c r="D271" s="32">
        <v>0</v>
      </c>
      <c r="E271" s="31">
        <v>0.50000000052480864</v>
      </c>
      <c r="F271" s="31">
        <v>0</v>
      </c>
      <c r="G271" s="31">
        <v>0</v>
      </c>
      <c r="H271" s="31">
        <v>0</v>
      </c>
      <c r="I271" s="31">
        <v>0</v>
      </c>
      <c r="J271" s="47" t="s">
        <v>1658</v>
      </c>
      <c r="K271" s="32">
        <v>0.31899860796928403</v>
      </c>
      <c r="L271" s="32">
        <v>0.3189980151923768</v>
      </c>
      <c r="M271" s="31">
        <v>-3.7410033820256872E-2</v>
      </c>
      <c r="N271" s="31">
        <v>2.4593617969987237E-3</v>
      </c>
      <c r="O271" s="31">
        <v>8.4872954999563284</v>
      </c>
      <c r="P271" s="31">
        <v>-2.6513326131914536</v>
      </c>
      <c r="Q271" s="31">
        <v>-3.0474330575544935</v>
      </c>
      <c r="R271" s="31">
        <v>0</v>
      </c>
      <c r="S271" s="31">
        <v>0.54000503105984299</v>
      </c>
      <c r="T271" s="26" t="s">
        <v>46</v>
      </c>
      <c r="U271" s="26" t="s">
        <v>46</v>
      </c>
    </row>
    <row r="272" spans="1:21" x14ac:dyDescent="0.2">
      <c r="A272" s="31">
        <v>0.71947375633822119</v>
      </c>
      <c r="B272" s="46" t="s">
        <v>1659</v>
      </c>
      <c r="C272" s="32">
        <v>0.28404893412590027</v>
      </c>
      <c r="D272" s="32">
        <v>0.28404874936990249</v>
      </c>
      <c r="E272" s="31">
        <v>0.95848065840895869</v>
      </c>
      <c r="F272" s="31">
        <v>3.0063591836305549E-3</v>
      </c>
      <c r="G272" s="31">
        <v>9.238301743698532</v>
      </c>
      <c r="H272" s="31">
        <v>-2.8091732490110735</v>
      </c>
      <c r="I272" s="31">
        <v>49.920334163405272</v>
      </c>
      <c r="J272" s="47" t="s">
        <v>1660</v>
      </c>
      <c r="K272" s="32">
        <v>0.30949158716201791</v>
      </c>
      <c r="L272" s="32">
        <v>0.30949136227400215</v>
      </c>
      <c r="M272" s="31">
        <v>-5.38940226607586E-2</v>
      </c>
      <c r="N272" s="31">
        <v>3.4006509892351685E-3</v>
      </c>
      <c r="O272" s="31">
        <v>11.385943469024319</v>
      </c>
      <c r="P272" s="31">
        <v>-3.4488633052400925</v>
      </c>
      <c r="Q272" s="31">
        <v>-4.4014235515909919</v>
      </c>
      <c r="R272" s="31">
        <v>41.600001706830184</v>
      </c>
      <c r="S272" s="31">
        <v>0.80000256056017027</v>
      </c>
      <c r="T272" s="26" t="s">
        <v>46</v>
      </c>
      <c r="U272" s="26" t="s">
        <v>46</v>
      </c>
    </row>
    <row r="273" spans="1:21" x14ac:dyDescent="0.2">
      <c r="A273" s="31">
        <v>0.75373441140194597</v>
      </c>
      <c r="B273" s="46" t="s">
        <v>1661</v>
      </c>
      <c r="C273" s="32">
        <v>0</v>
      </c>
      <c r="D273" s="32">
        <v>158000.14347457147</v>
      </c>
      <c r="E273" s="31">
        <v>0.50000000052480864</v>
      </c>
      <c r="F273" s="31">
        <v>0</v>
      </c>
      <c r="G273" s="31">
        <v>0</v>
      </c>
      <c r="H273" s="31">
        <v>0</v>
      </c>
      <c r="I273" s="31">
        <v>0</v>
      </c>
      <c r="J273" s="47" t="s">
        <v>1662</v>
      </c>
      <c r="K273" s="32">
        <v>0.29402229390144352</v>
      </c>
      <c r="L273" s="32">
        <v>0.29402187830617166</v>
      </c>
      <c r="M273" s="31">
        <v>-7.2212191277531756E-2</v>
      </c>
      <c r="N273" s="31">
        <v>4.496651339373276E-3</v>
      </c>
      <c r="O273" s="31">
        <v>14.303014827388285</v>
      </c>
      <c r="P273" s="31">
        <v>-4.1129958667073856</v>
      </c>
      <c r="Q273" s="31">
        <v>-5.8964595369090747</v>
      </c>
      <c r="R273" s="31">
        <v>0</v>
      </c>
      <c r="S273" s="31">
        <v>1.0700059442576866</v>
      </c>
      <c r="T273" s="26" t="s">
        <v>46</v>
      </c>
      <c r="U273" s="26" t="s">
        <v>46</v>
      </c>
    </row>
    <row r="274" spans="1:21" x14ac:dyDescent="0.2">
      <c r="A274" s="31">
        <v>0.78799506646567086</v>
      </c>
      <c r="B274" s="46" t="s">
        <v>1663</v>
      </c>
      <c r="C274" s="32">
        <v>0.31278099347352983</v>
      </c>
      <c r="D274" s="32">
        <v>0.31278082841396609</v>
      </c>
      <c r="E274" s="31">
        <v>0.88209771409463467</v>
      </c>
      <c r="F274" s="31">
        <v>6.0728098155077839E-3</v>
      </c>
      <c r="G274" s="31">
        <v>20.548879613202025</v>
      </c>
      <c r="H274" s="31">
        <v>-6.5467141310948636</v>
      </c>
      <c r="I274" s="31">
        <v>48.550271354029555</v>
      </c>
      <c r="J274" s="47" t="s">
        <v>1664</v>
      </c>
      <c r="K274" s="32">
        <v>0.27970883464813234</v>
      </c>
      <c r="L274" s="32">
        <v>0.27970890362239426</v>
      </c>
      <c r="M274" s="31">
        <v>-9.6671996864728493E-2</v>
      </c>
      <c r="N274" s="31">
        <v>5.8846703114620921E-3</v>
      </c>
      <c r="O274" s="31">
        <v>17.806822640798213</v>
      </c>
      <c r="P274" s="31">
        <v>-4.8671406699637219</v>
      </c>
      <c r="Q274" s="31">
        <v>-7.8975518629110297</v>
      </c>
      <c r="R274" s="31">
        <v>33.150003391788076</v>
      </c>
      <c r="S274" s="31">
        <v>1.4399987717873319</v>
      </c>
      <c r="T274" s="26" t="s">
        <v>46</v>
      </c>
      <c r="U274" s="26" t="s">
        <v>46</v>
      </c>
    </row>
    <row r="275" spans="1:21" x14ac:dyDescent="0.2">
      <c r="A275" s="31">
        <v>0.82225572152939563</v>
      </c>
      <c r="B275" s="46" t="s">
        <v>1665</v>
      </c>
      <c r="C275" s="32">
        <v>0</v>
      </c>
      <c r="D275" s="32">
        <v>4.788991033015623E-2</v>
      </c>
      <c r="E275" s="31">
        <v>0.50000000052480864</v>
      </c>
      <c r="F275" s="31">
        <v>0</v>
      </c>
      <c r="G275" s="31">
        <v>0</v>
      </c>
      <c r="H275" s="31">
        <v>0</v>
      </c>
      <c r="I275" s="31">
        <v>0</v>
      </c>
      <c r="J275" s="47" t="s">
        <v>1666</v>
      </c>
      <c r="K275" s="32">
        <v>0.26669711914062499</v>
      </c>
      <c r="L275" s="32">
        <v>0.26669709244612888</v>
      </c>
      <c r="M275" s="31">
        <v>-0.12906931270489952</v>
      </c>
      <c r="N275" s="31">
        <v>7.5882871173588743E-3</v>
      </c>
      <c r="O275" s="31">
        <v>21.893751885357066</v>
      </c>
      <c r="P275" s="31">
        <v>-5.6999575276189978</v>
      </c>
      <c r="Q275" s="31">
        <v>-10.558154581292733</v>
      </c>
      <c r="R275" s="31">
        <v>0</v>
      </c>
      <c r="S275" s="31">
        <v>1.9500005844426527</v>
      </c>
      <c r="T275" s="26" t="s">
        <v>46</v>
      </c>
      <c r="U275" s="26" t="s">
        <v>46</v>
      </c>
    </row>
    <row r="276" spans="1:21" x14ac:dyDescent="0.2">
      <c r="A276" s="31">
        <v>0.85651637659312052</v>
      </c>
      <c r="B276" s="46" t="s">
        <v>1667</v>
      </c>
      <c r="C276" s="32">
        <v>0.21733242142200471</v>
      </c>
      <c r="D276" s="32">
        <v>0.21733265454752748</v>
      </c>
      <c r="E276" s="31">
        <v>0.8610219210452863</v>
      </c>
      <c r="F276" s="31">
        <v>9.797425246378548E-3</v>
      </c>
      <c r="G276" s="31">
        <v>23.035338047216591</v>
      </c>
      <c r="H276" s="31">
        <v>-5.1646743263504948</v>
      </c>
      <c r="I276" s="31">
        <v>52.245106051216993</v>
      </c>
      <c r="J276" s="47" t="s">
        <v>1668</v>
      </c>
      <c r="K276" s="32">
        <v>0.25464025412797942</v>
      </c>
      <c r="L276" s="32">
        <v>0.25464047782148691</v>
      </c>
      <c r="M276" s="31">
        <v>-0.17090128989562725</v>
      </c>
      <c r="N276" s="31">
        <v>9.5868733010263923E-3</v>
      </c>
      <c r="O276" s="31">
        <v>26.409620440159628</v>
      </c>
      <c r="P276" s="31">
        <v>-6.5564380385036864</v>
      </c>
      <c r="Q276" s="31">
        <v>-14.009560162266737</v>
      </c>
      <c r="R276" s="31">
        <v>22.799994629871875</v>
      </c>
      <c r="S276" s="31">
        <v>2.6399940923374814</v>
      </c>
      <c r="T276" s="26" t="s">
        <v>46</v>
      </c>
      <c r="U276" s="26" t="s">
        <v>46</v>
      </c>
    </row>
    <row r="277" spans="1:21" x14ac:dyDescent="0.2">
      <c r="A277" s="31">
        <v>0.8907770316568453</v>
      </c>
      <c r="B277" s="46" t="s">
        <v>1669</v>
      </c>
      <c r="C277" s="32">
        <v>0.11264647548198699</v>
      </c>
      <c r="D277" s="32">
        <v>0.11264697133406582</v>
      </c>
      <c r="E277" s="31">
        <v>0.93259037601269557</v>
      </c>
      <c r="F277" s="31">
        <v>1.1131324125780205E-2</v>
      </c>
      <c r="G277" s="31">
        <v>13.565085939270499</v>
      </c>
      <c r="H277" s="31">
        <v>-1.7793833582385021</v>
      </c>
      <c r="I277" s="31">
        <v>60.775743012808988</v>
      </c>
      <c r="J277" s="47" t="s">
        <v>1670</v>
      </c>
      <c r="K277" s="32">
        <v>0.2462783386707306</v>
      </c>
      <c r="L277" s="32">
        <v>0.24627853640798228</v>
      </c>
      <c r="M277" s="31">
        <v>-0.22561286422938409</v>
      </c>
      <c r="N277" s="31">
        <v>1.1726229310807247E-2</v>
      </c>
      <c r="O277" s="31">
        <v>31.242279309264468</v>
      </c>
      <c r="P277" s="31">
        <v>-7.4899485974259203</v>
      </c>
      <c r="Q277" s="31">
        <v>-18.578255254708552</v>
      </c>
      <c r="R277" s="31">
        <v>16.449993273692584</v>
      </c>
      <c r="S277" s="31">
        <v>3.6499938222364916</v>
      </c>
      <c r="T277" s="26" t="s">
        <v>46</v>
      </c>
      <c r="U277" s="26" t="s">
        <v>46</v>
      </c>
    </row>
    <row r="278" spans="1:21" x14ac:dyDescent="0.2">
      <c r="A278" s="31">
        <v>0.92503768672057007</v>
      </c>
      <c r="B278" s="46" t="s">
        <v>1671</v>
      </c>
      <c r="C278" s="32">
        <v>0.16456745460033417</v>
      </c>
      <c r="D278" s="32">
        <v>0.16456716858214812</v>
      </c>
      <c r="E278" s="31">
        <v>0.76821047066871062</v>
      </c>
      <c r="F278" s="31">
        <v>1.7816692227169285E-2</v>
      </c>
      <c r="G278" s="31">
        <v>31.719705205500887</v>
      </c>
      <c r="H278" s="31">
        <v>-5.3651621950585362</v>
      </c>
      <c r="I278" s="31">
        <v>50.063555086902987</v>
      </c>
      <c r="J278" s="47" t="s">
        <v>1672</v>
      </c>
      <c r="K278" s="32">
        <v>0.23799796100854873</v>
      </c>
      <c r="L278" s="32">
        <v>0.23799801924026975</v>
      </c>
      <c r="M278" s="31">
        <v>-0.29078897343576671</v>
      </c>
      <c r="N278" s="31">
        <v>1.3845614046593006E-2</v>
      </c>
      <c r="O278" s="31">
        <v>35.648689595938521</v>
      </c>
      <c r="P278" s="31">
        <v>-8.2427561771284275</v>
      </c>
      <c r="Q278" s="31">
        <v>-24.069969498836297</v>
      </c>
      <c r="R278" s="31">
        <v>13.550009072408997</v>
      </c>
      <c r="S278" s="31">
        <v>4.9499979241154062</v>
      </c>
      <c r="T278" s="26" t="s">
        <v>46</v>
      </c>
      <c r="U278" s="26" t="s">
        <v>46</v>
      </c>
    </row>
    <row r="279" spans="1:21" x14ac:dyDescent="0.2">
      <c r="A279" s="31">
        <v>0.95929834178429496</v>
      </c>
      <c r="B279" s="46" t="s">
        <v>1673</v>
      </c>
      <c r="C279" s="32">
        <v>0.17319472551345821</v>
      </c>
      <c r="D279" s="32">
        <v>0.17319484238519417</v>
      </c>
      <c r="E279" s="31">
        <v>0.65829752705381406</v>
      </c>
      <c r="F279" s="31">
        <v>2.0378903083000867E-2</v>
      </c>
      <c r="G279" s="31">
        <v>38.183310443715577</v>
      </c>
      <c r="H279" s="31">
        <v>-6.7066330031026746</v>
      </c>
      <c r="I279" s="31">
        <v>43.465113852376824</v>
      </c>
      <c r="J279" s="47" t="s">
        <v>1674</v>
      </c>
      <c r="K279" s="32">
        <v>0.23264650677442553</v>
      </c>
      <c r="L279" s="32">
        <v>0.23264666085096203</v>
      </c>
      <c r="M279" s="31">
        <v>-0.36671688199726149</v>
      </c>
      <c r="N279" s="31">
        <v>1.5557838450486944E-2</v>
      </c>
      <c r="O279" s="31">
        <v>39.156503666675547</v>
      </c>
      <c r="P279" s="31">
        <v>-8.8287830360382102</v>
      </c>
      <c r="Q279" s="31">
        <v>-30.587249183346266</v>
      </c>
      <c r="R279" s="31">
        <v>10.499995537450062</v>
      </c>
      <c r="S279" s="31">
        <v>6.6999939669014026</v>
      </c>
      <c r="T279" s="26" t="s">
        <v>46</v>
      </c>
      <c r="U279" s="26" t="s">
        <v>46</v>
      </c>
    </row>
    <row r="280" spans="1:21" x14ac:dyDescent="0.2">
      <c r="A280" s="31">
        <v>0.99355899684801974</v>
      </c>
      <c r="B280" s="46" t="s">
        <v>1675</v>
      </c>
      <c r="C280" s="32">
        <v>0.17142092084884641</v>
      </c>
      <c r="D280" s="32">
        <v>0.17142085184302228</v>
      </c>
      <c r="E280" s="31">
        <v>0.54916016506921517</v>
      </c>
      <c r="F280" s="31">
        <v>2.2205117370603586E-2</v>
      </c>
      <c r="G280" s="31">
        <v>41.178925436997439</v>
      </c>
      <c r="H280" s="31">
        <v>-7.1153707273499363</v>
      </c>
      <c r="I280" s="31">
        <v>36.82256562423246</v>
      </c>
      <c r="J280" s="47" t="s">
        <v>1676</v>
      </c>
      <c r="K280" s="32">
        <v>0.22872625541687011</v>
      </c>
      <c r="L280" s="32">
        <v>0.22872639287965785</v>
      </c>
      <c r="M280" s="31">
        <v>-0.44895059496946155</v>
      </c>
      <c r="N280" s="31">
        <v>1.6631821964752384E-2</v>
      </c>
      <c r="O280" s="31">
        <v>41.154180699530606</v>
      </c>
      <c r="P280" s="31">
        <v>-9.0947971965030945</v>
      </c>
      <c r="Q280" s="31">
        <v>-37.800562910394383</v>
      </c>
      <c r="R280" s="31">
        <v>7.6500028415856747</v>
      </c>
      <c r="S280" s="31">
        <v>8.899994342831608</v>
      </c>
      <c r="T280" s="26" t="s">
        <v>46</v>
      </c>
      <c r="U280" s="26" t="s">
        <v>46</v>
      </c>
    </row>
    <row r="281" spans="1:21" x14ac:dyDescent="0.2">
      <c r="A281" s="31">
        <v>1.0278196519117446</v>
      </c>
      <c r="B281" s="46" t="s">
        <v>1677</v>
      </c>
      <c r="C281" s="32">
        <v>0.16955628021955491</v>
      </c>
      <c r="D281" s="32">
        <v>0.16955612929481687</v>
      </c>
      <c r="E281" s="31">
        <v>0.43762951934886374</v>
      </c>
      <c r="F281" s="31">
        <v>2.2344255915612128E-2</v>
      </c>
      <c r="G281" s="31">
        <v>40.986222167598619</v>
      </c>
      <c r="H281" s="31">
        <v>-6.9754764917946037</v>
      </c>
      <c r="I281" s="31">
        <v>29.723254321831213</v>
      </c>
      <c r="J281" s="47" t="s">
        <v>1678</v>
      </c>
      <c r="K281" s="32">
        <v>0.22574798016548156</v>
      </c>
      <c r="L281" s="32">
        <v>0.2257480985566121</v>
      </c>
      <c r="M281" s="31">
        <v>-0.53301211920796743</v>
      </c>
      <c r="N281" s="31">
        <v>1.6932334563721101E-2</v>
      </c>
      <c r="O281" s="31">
        <v>41.352219744422612</v>
      </c>
      <c r="P281" s="31">
        <v>-8.9838410305025302</v>
      </c>
      <c r="Q281" s="31">
        <v>-45.377913235261722</v>
      </c>
      <c r="R281" s="31">
        <v>5.3500061858347294</v>
      </c>
      <c r="S281" s="31">
        <v>11.549995104263919</v>
      </c>
      <c r="T281" s="26" t="s">
        <v>46</v>
      </c>
      <c r="U281" s="26" t="s">
        <v>46</v>
      </c>
    </row>
    <row r="282" spans="1:21" x14ac:dyDescent="0.2">
      <c r="A282" s="31">
        <v>1.0620803069754694</v>
      </c>
      <c r="B282" s="46" t="s">
        <v>1679</v>
      </c>
      <c r="C282" s="32">
        <v>0.16683263176679614</v>
      </c>
      <c r="D282" s="32">
        <v>0.16683240709472102</v>
      </c>
      <c r="E282" s="31">
        <v>0.33095570146691566</v>
      </c>
      <c r="F282" s="31">
        <v>2.0894368937900851E-2</v>
      </c>
      <c r="G282" s="31">
        <v>37.711028086382086</v>
      </c>
      <c r="H282" s="31">
        <v>-6.2960506791658331</v>
      </c>
      <c r="I282" s="31">
        <v>22.729984619751189</v>
      </c>
      <c r="J282" s="47" t="s">
        <v>1680</v>
      </c>
      <c r="K282" s="32">
        <v>0.2277013110280037</v>
      </c>
      <c r="L282" s="32">
        <v>0.22770131170368529</v>
      </c>
      <c r="M282" s="31">
        <v>-0.61133540167091938</v>
      </c>
      <c r="N282" s="31">
        <v>1.6184480814212858E-2</v>
      </c>
      <c r="O282" s="31">
        <v>39.867813315408888</v>
      </c>
      <c r="P282" s="31">
        <v>-8.6968682624573077</v>
      </c>
      <c r="Q282" s="31">
        <v>-52.834688979453198</v>
      </c>
      <c r="R282" s="31">
        <v>3.5500084726135483</v>
      </c>
      <c r="S282" s="31">
        <v>14.799999973062052</v>
      </c>
      <c r="T282" s="26" t="s">
        <v>46</v>
      </c>
      <c r="U282" s="26" t="s">
        <v>46</v>
      </c>
    </row>
    <row r="283" spans="1:21" x14ac:dyDescent="0.2">
      <c r="A283" s="31">
        <v>1.0963409620391942</v>
      </c>
      <c r="B283" s="46" t="s">
        <v>1681</v>
      </c>
      <c r="C283" s="32">
        <v>0.16486928749084473</v>
      </c>
      <c r="D283" s="32">
        <v>0.16486917492811415</v>
      </c>
      <c r="E283" s="31">
        <v>0.2375862268496397</v>
      </c>
      <c r="F283" s="31">
        <v>1.8028644806248578E-2</v>
      </c>
      <c r="G283" s="31">
        <v>32.155921240256568</v>
      </c>
      <c r="H283" s="31">
        <v>-5.2932381776027215</v>
      </c>
      <c r="I283" s="31">
        <v>16.463914722313628</v>
      </c>
      <c r="J283" s="47" t="s">
        <v>1682</v>
      </c>
      <c r="K283" s="32">
        <v>0.22560993810892105</v>
      </c>
      <c r="L283" s="32">
        <v>0.22560989251815874</v>
      </c>
      <c r="M283" s="31">
        <v>-0.68593941702315142</v>
      </c>
      <c r="N283" s="31">
        <v>1.5119112563471912E-2</v>
      </c>
      <c r="O283" s="31">
        <v>36.901382697100559</v>
      </c>
      <c r="P283" s="31">
        <v>-7.9230167367244979</v>
      </c>
      <c r="Q283" s="31">
        <v>-60.117338973428041</v>
      </c>
      <c r="R283" s="31">
        <v>2.2600036195575655</v>
      </c>
      <c r="S283" s="31">
        <v>18.250001682362115</v>
      </c>
      <c r="T283" s="26" t="s">
        <v>46</v>
      </c>
      <c r="U283" s="26" t="s">
        <v>46</v>
      </c>
    </row>
    <row r="284" spans="1:21" x14ac:dyDescent="0.2">
      <c r="A284" s="31">
        <v>1.130601617102919</v>
      </c>
      <c r="B284" s="46" t="s">
        <v>1683</v>
      </c>
      <c r="C284" s="32">
        <v>0.16295887125730515</v>
      </c>
      <c r="D284" s="32">
        <v>0.16295897963927572</v>
      </c>
      <c r="E284" s="31">
        <v>0.16138494090779232</v>
      </c>
      <c r="F284" s="31">
        <v>1.4436117490742719E-2</v>
      </c>
      <c r="G284" s="31">
        <v>25.449926271336707</v>
      </c>
      <c r="H284" s="31">
        <v>-4.1335096466560524</v>
      </c>
      <c r="I284" s="31">
        <v>11.267315680439516</v>
      </c>
      <c r="J284" s="47" t="s">
        <v>1684</v>
      </c>
      <c r="K284" s="32">
        <v>0.22568325060009953</v>
      </c>
      <c r="L284" s="32">
        <v>0.22568325307607665</v>
      </c>
      <c r="M284" s="31">
        <v>-0.75031384510442867</v>
      </c>
      <c r="N284" s="31">
        <v>1.3528633969779415E-2</v>
      </c>
      <c r="O284" s="31">
        <v>33.030214032157311</v>
      </c>
      <c r="P284" s="31">
        <v>-7.0352097583144353</v>
      </c>
      <c r="Q284" s="31">
        <v>-66.844851373070583</v>
      </c>
      <c r="R284" s="31">
        <v>1.369997241685855</v>
      </c>
      <c r="S284" s="31">
        <v>22.099999918217932</v>
      </c>
      <c r="T284" s="26" t="s">
        <v>46</v>
      </c>
      <c r="U284" s="26" t="s">
        <v>46</v>
      </c>
    </row>
    <row r="285" spans="1:21" x14ac:dyDescent="0.2">
      <c r="A285" s="31">
        <v>1.164862272166644</v>
      </c>
      <c r="B285" s="46" t="s">
        <v>1685</v>
      </c>
      <c r="C285" s="32">
        <v>0.16166499519348143</v>
      </c>
      <c r="D285" s="32">
        <v>0.16166489359638608</v>
      </c>
      <c r="E285" s="31">
        <v>0.10442741544886136</v>
      </c>
      <c r="F285" s="31">
        <v>1.0771199125219824E-2</v>
      </c>
      <c r="G285" s="31">
        <v>18.838146113450847</v>
      </c>
      <c r="H285" s="31">
        <v>-3.0310956618601077</v>
      </c>
      <c r="I285" s="31">
        <v>7.3346718539806535</v>
      </c>
      <c r="J285" s="47" t="s">
        <v>1686</v>
      </c>
      <c r="K285" s="32">
        <v>0.11799506874084471</v>
      </c>
      <c r="L285" s="32">
        <v>0.11799451547836932</v>
      </c>
      <c r="M285" s="31">
        <v>-0.96068713595204658</v>
      </c>
      <c r="N285" s="31">
        <v>6.923300900059607E-3</v>
      </c>
      <c r="O285" s="31">
        <v>8.8376170245903225</v>
      </c>
      <c r="P285" s="31">
        <v>-0.64872036774305486</v>
      </c>
      <c r="Q285" s="31">
        <v>-83.429937366175096</v>
      </c>
      <c r="R285" s="31">
        <v>0.80000191389989261</v>
      </c>
      <c r="S285" s="31">
        <v>24.050004889484718</v>
      </c>
      <c r="T285" s="26" t="s">
        <v>46</v>
      </c>
      <c r="U285" s="26" t="s">
        <v>46</v>
      </c>
    </row>
    <row r="286" spans="1:21" x14ac:dyDescent="0.2">
      <c r="A286" s="31">
        <v>1.1991229272303687</v>
      </c>
      <c r="B286" s="46" t="s">
        <v>1687</v>
      </c>
      <c r="C286" s="32">
        <v>0.16070227701663969</v>
      </c>
      <c r="D286" s="32">
        <v>0.16070184005880189</v>
      </c>
      <c r="E286" s="31">
        <v>6.4503018696493442E-2</v>
      </c>
      <c r="F286" s="31">
        <v>7.5406606540637956E-3</v>
      </c>
      <c r="G286" s="31">
        <v>13.109603001560375</v>
      </c>
      <c r="H286" s="31">
        <v>-2.0944413796922037</v>
      </c>
      <c r="I286" s="31">
        <v>4.5529190917897591</v>
      </c>
      <c r="J286" s="47" t="s">
        <v>1688</v>
      </c>
      <c r="K286" s="32">
        <v>0</v>
      </c>
      <c r="L286" s="32">
        <v>0</v>
      </c>
      <c r="M286" s="31">
        <v>-0.50000000052480864</v>
      </c>
      <c r="N286" s="31">
        <v>0</v>
      </c>
      <c r="O286" s="31">
        <v>0</v>
      </c>
      <c r="P286" s="31">
        <v>0</v>
      </c>
      <c r="Q286" s="31">
        <v>0</v>
      </c>
      <c r="R286" s="31">
        <v>0.45000572832447183</v>
      </c>
      <c r="S286" s="31">
        <v>0</v>
      </c>
      <c r="T286" s="26" t="s">
        <v>46</v>
      </c>
      <c r="U286" s="26" t="s">
        <v>46</v>
      </c>
    </row>
    <row r="287" spans="1:21" x14ac:dyDescent="0.2">
      <c r="A287" s="31">
        <v>1.2333835822940935</v>
      </c>
      <c r="B287" s="46" t="s">
        <v>1689</v>
      </c>
      <c r="C287" s="32">
        <v>0.1594677661895752</v>
      </c>
      <c r="D287" s="32">
        <v>0.15946662453394359</v>
      </c>
      <c r="E287" s="31">
        <v>3.7657747243543982E-2</v>
      </c>
      <c r="F287" s="31">
        <v>4.9462808790467555E-3</v>
      </c>
      <c r="G287" s="31">
        <v>8.5331582129225048</v>
      </c>
      <c r="H287" s="31">
        <v>-1.3515899878164408</v>
      </c>
      <c r="I287" s="31">
        <v>2.6695909543219778</v>
      </c>
      <c r="J287" s="47" t="s">
        <v>1690</v>
      </c>
      <c r="K287" s="32">
        <v>0.41942170076370239</v>
      </c>
      <c r="L287" s="32">
        <v>0.41942154785216978</v>
      </c>
      <c r="M287" s="31">
        <v>-0.70827799873922848</v>
      </c>
      <c r="N287" s="31">
        <v>7.8683557777631443E-3</v>
      </c>
      <c r="O287" s="31">
        <v>35.702037231945503</v>
      </c>
      <c r="P287" s="31">
        <v>-14.408770124951939</v>
      </c>
      <c r="Q287" s="31">
        <v>-73.201829281667315</v>
      </c>
      <c r="R287" s="31">
        <v>0.24000974181077606</v>
      </c>
      <c r="S287" s="31">
        <v>40.750005459252769</v>
      </c>
      <c r="T287" s="26" t="s">
        <v>46</v>
      </c>
      <c r="U287" s="26" t="s">
        <v>46</v>
      </c>
    </row>
    <row r="288" spans="1:21" x14ac:dyDescent="0.2">
      <c r="A288" s="31">
        <v>1.2676442373578183</v>
      </c>
      <c r="B288" s="46" t="s">
        <v>1691</v>
      </c>
      <c r="C288" s="32">
        <v>0.15783128833770754</v>
      </c>
      <c r="D288" s="32">
        <v>0.15783059197321242</v>
      </c>
      <c r="E288" s="31">
        <v>2.058919441114837E-2</v>
      </c>
      <c r="F288" s="31">
        <v>3.0229183065374403E-3</v>
      </c>
      <c r="G288" s="31">
        <v>5.1615201239717097</v>
      </c>
      <c r="H288" s="31">
        <v>-0.80855547549203288</v>
      </c>
      <c r="I288" s="31">
        <v>1.4652866176680042</v>
      </c>
      <c r="J288" s="47" t="s">
        <v>1692</v>
      </c>
      <c r="K288" s="32">
        <v>0.44082823294401163</v>
      </c>
      <c r="L288" s="32">
        <v>0.44082819383481042</v>
      </c>
      <c r="M288" s="31">
        <v>-0.72376255825756253</v>
      </c>
      <c r="N288" s="31">
        <v>7.2933981645828807E-3</v>
      </c>
      <c r="O288" s="31">
        <v>34.782231183036693</v>
      </c>
      <c r="P288" s="31">
        <v>-14.745706962275282</v>
      </c>
      <c r="Q288" s="31">
        <v>-76.787762461270574</v>
      </c>
      <c r="R288" s="31">
        <v>0.12000359426448037</v>
      </c>
      <c r="S288" s="31">
        <v>45.550001360305231</v>
      </c>
      <c r="T288" s="26" t="s">
        <v>46</v>
      </c>
      <c r="U288" s="26" t="s">
        <v>46</v>
      </c>
    </row>
    <row r="289" spans="1:21" x14ac:dyDescent="0.2">
      <c r="A289" s="31">
        <v>1.3019048924215431</v>
      </c>
      <c r="B289" s="46" t="s">
        <v>1693</v>
      </c>
      <c r="C289" s="32">
        <v>0.18652400927543639</v>
      </c>
      <c r="D289" s="32">
        <v>0.18652364672415936</v>
      </c>
      <c r="E289" s="31">
        <v>2.8106050251992087E-2</v>
      </c>
      <c r="F289" s="31">
        <v>3.3222333896000831E-3</v>
      </c>
      <c r="G289" s="31">
        <v>6.7038300106463842</v>
      </c>
      <c r="H289" s="31">
        <v>-1.2398614769593901</v>
      </c>
      <c r="I289" s="31">
        <v>1.9818623427722732</v>
      </c>
      <c r="J289" s="47" t="s">
        <v>1694</v>
      </c>
      <c r="K289" s="32">
        <v>0.45759497848749153</v>
      </c>
      <c r="L289" s="32">
        <v>0.4575951481019459</v>
      </c>
      <c r="M289" s="31">
        <v>-0.73967084400986283</v>
      </c>
      <c r="N289" s="31">
        <v>6.8195738639234933E-3</v>
      </c>
      <c r="O289" s="31">
        <v>33.759546215275066</v>
      </c>
      <c r="P289" s="31">
        <v>-14.842966354901787</v>
      </c>
      <c r="Q289" s="31">
        <v>-80.354310580540982</v>
      </c>
      <c r="R289" s="31">
        <v>0.20000243047292487</v>
      </c>
      <c r="S289" s="31">
        <v>50.249994273892327</v>
      </c>
      <c r="T289" s="26" t="s">
        <v>46</v>
      </c>
      <c r="U289" s="26" t="s">
        <v>46</v>
      </c>
    </row>
    <row r="290" spans="1:21" x14ac:dyDescent="0.2">
      <c r="A290" s="31">
        <v>1.3361655474852678</v>
      </c>
      <c r="B290" s="46" t="s">
        <v>1695</v>
      </c>
      <c r="C290" s="32">
        <v>0.15732775669097904</v>
      </c>
      <c r="D290" s="32">
        <v>0.15732992808214688</v>
      </c>
      <c r="E290" s="31">
        <v>5.899122295914605E-3</v>
      </c>
      <c r="F290" s="31">
        <v>1.0235455756608383E-3</v>
      </c>
      <c r="G290" s="31">
        <v>1.7420902424125353</v>
      </c>
      <c r="H290" s="31">
        <v>-0.27170779426125008</v>
      </c>
      <c r="I290" s="31">
        <v>0.42205795660282874</v>
      </c>
      <c r="J290" s="47" t="s">
        <v>1696</v>
      </c>
      <c r="K290" s="32">
        <v>0.48629342137575149</v>
      </c>
      <c r="L290" s="32">
        <v>0.4862934154580798</v>
      </c>
      <c r="M290" s="31">
        <v>-0.7452198087321078</v>
      </c>
      <c r="N290" s="31">
        <v>6.3457095901348452E-3</v>
      </c>
      <c r="O290" s="31">
        <v>33.383871494698191</v>
      </c>
      <c r="P290" s="31">
        <v>-15.603133313391702</v>
      </c>
      <c r="Q290" s="31">
        <v>-83.381519952446169</v>
      </c>
      <c r="R290" s="31">
        <v>2.9996217067735365E-2</v>
      </c>
      <c r="S290" s="31">
        <v>55.400000197554782</v>
      </c>
      <c r="T290" s="26" t="s">
        <v>46</v>
      </c>
      <c r="U290" s="26" t="s">
        <v>46</v>
      </c>
    </row>
    <row r="291" spans="1:21" x14ac:dyDescent="0.2">
      <c r="A291" s="31">
        <v>1.3704262025489928</v>
      </c>
      <c r="B291" s="46" t="s">
        <v>1697</v>
      </c>
      <c r="C291" s="32">
        <v>0.16934385280609132</v>
      </c>
      <c r="D291" s="32">
        <v>0.16934643702539798</v>
      </c>
      <c r="E291" s="31">
        <v>5.527462121344473E-3</v>
      </c>
      <c r="F291" s="31">
        <v>8.9754456194826018E-4</v>
      </c>
      <c r="G291" s="31">
        <v>1.6443095116055297</v>
      </c>
      <c r="H291" s="31">
        <v>-0.27588924995947994</v>
      </c>
      <c r="I291" s="31">
        <v>0.39450793528228156</v>
      </c>
      <c r="J291" s="47" t="s">
        <v>1698</v>
      </c>
      <c r="K291" s="32">
        <v>0.49561161781549457</v>
      </c>
      <c r="L291" s="32">
        <v>0.49561165687961806</v>
      </c>
      <c r="M291" s="31">
        <v>-0.76183598686243004</v>
      </c>
      <c r="N291" s="31">
        <v>6.0053705880432091E-3</v>
      </c>
      <c r="O291" s="31">
        <v>32.198779026279247</v>
      </c>
      <c r="P291" s="31">
        <v>-15.315139475287268</v>
      </c>
      <c r="Q291" s="31">
        <v>-86.92435600476486</v>
      </c>
      <c r="R291" s="31">
        <v>2.9995750524334119E-2</v>
      </c>
      <c r="S291" s="31">
        <v>59.949998742182871</v>
      </c>
      <c r="T291" s="26" t="s">
        <v>46</v>
      </c>
      <c r="U291" s="26" t="s">
        <v>46</v>
      </c>
    </row>
    <row r="292" spans="1:21" x14ac:dyDescent="0.2">
      <c r="A292" s="31">
        <v>0.41112786076469782</v>
      </c>
      <c r="B292" s="46" t="s">
        <v>1699</v>
      </c>
      <c r="C292" s="32">
        <v>0</v>
      </c>
      <c r="D292" s="32">
        <v>0</v>
      </c>
      <c r="E292" s="31">
        <v>0.50000000052480864</v>
      </c>
      <c r="F292" s="31">
        <v>0</v>
      </c>
      <c r="G292" s="31">
        <v>0</v>
      </c>
      <c r="H292" s="31">
        <v>0</v>
      </c>
      <c r="I292" s="31">
        <v>0</v>
      </c>
      <c r="J292" s="47" t="s">
        <v>1700</v>
      </c>
      <c r="K292" s="32">
        <v>0.44222367362976067</v>
      </c>
      <c r="L292" s="32">
        <v>0.44222691326723829</v>
      </c>
      <c r="M292" s="31">
        <v>-6.3017988774010103E-3</v>
      </c>
      <c r="N292" s="31">
        <v>3.1441853192772378E-4</v>
      </c>
      <c r="O292" s="31">
        <v>2.2680654120571204</v>
      </c>
      <c r="P292" s="31">
        <v>-0.65238896561663762</v>
      </c>
      <c r="Q292" s="31">
        <v>-0.80391506832902726</v>
      </c>
      <c r="R292" s="31">
        <v>0</v>
      </c>
      <c r="S292" s="31">
        <v>0.129992652148752</v>
      </c>
      <c r="T292" s="26" t="s">
        <v>46</v>
      </c>
      <c r="U292" s="26" t="s">
        <v>46</v>
      </c>
    </row>
    <row r="293" spans="1:21" x14ac:dyDescent="0.2">
      <c r="A293" s="31">
        <v>0.44538851582842265</v>
      </c>
      <c r="B293" s="46" t="s">
        <v>1701</v>
      </c>
      <c r="C293" s="32">
        <v>0</v>
      </c>
      <c r="D293" s="32">
        <v>0</v>
      </c>
      <c r="E293" s="31">
        <v>0.50000000052480864</v>
      </c>
      <c r="F293" s="31">
        <v>0</v>
      </c>
      <c r="G293" s="31">
        <v>0</v>
      </c>
      <c r="H293" s="31">
        <v>0</v>
      </c>
      <c r="I293" s="31">
        <v>0</v>
      </c>
      <c r="J293" s="47" t="s">
        <v>1702</v>
      </c>
      <c r="K293" s="32">
        <v>0.4490614045143127</v>
      </c>
      <c r="L293" s="32">
        <v>0.44906380706074789</v>
      </c>
      <c r="M293" s="31">
        <v>-1.1939948724900007E-2</v>
      </c>
      <c r="N293" s="31">
        <v>5.4222286116592652E-4</v>
      </c>
      <c r="O293" s="31">
        <v>3.9718149552039095</v>
      </c>
      <c r="P293" s="31">
        <v>-1.1597867192828715</v>
      </c>
      <c r="Q293" s="31">
        <v>-1.5413255046809136</v>
      </c>
      <c r="R293" s="31">
        <v>0</v>
      </c>
      <c r="S293" s="31">
        <v>0.26999045742252969</v>
      </c>
      <c r="T293" s="26" t="s">
        <v>46</v>
      </c>
      <c r="U293" s="26" t="s">
        <v>46</v>
      </c>
    </row>
    <row r="294" spans="1:21" x14ac:dyDescent="0.2">
      <c r="A294" s="31">
        <v>0.47964917089214748</v>
      </c>
      <c r="B294" s="46" t="s">
        <v>1703</v>
      </c>
      <c r="C294" s="32">
        <v>0</v>
      </c>
      <c r="D294" s="32">
        <v>0</v>
      </c>
      <c r="E294" s="31">
        <v>0.50000000052480864</v>
      </c>
      <c r="F294" s="31">
        <v>0</v>
      </c>
      <c r="G294" s="31">
        <v>0</v>
      </c>
      <c r="H294" s="31">
        <v>0</v>
      </c>
      <c r="I294" s="31">
        <v>0</v>
      </c>
      <c r="J294" s="47" t="s">
        <v>1704</v>
      </c>
      <c r="K294" s="32">
        <v>0.40169509801864622</v>
      </c>
      <c r="L294" s="32">
        <v>0.40169578495617853</v>
      </c>
      <c r="M294" s="31">
        <v>-1.1581685204180014E-2</v>
      </c>
      <c r="N294" s="31">
        <v>5.9034357554670297E-4</v>
      </c>
      <c r="O294" s="31">
        <v>3.8681813383231201</v>
      </c>
      <c r="P294" s="31">
        <v>-1.0100006483829831</v>
      </c>
      <c r="Q294" s="31">
        <v>-1.4706514413153298</v>
      </c>
      <c r="R294" s="31">
        <v>0</v>
      </c>
      <c r="S294" s="31">
        <v>0.22999734279112771</v>
      </c>
      <c r="T294" s="26" t="s">
        <v>46</v>
      </c>
      <c r="U294" s="26" t="s">
        <v>46</v>
      </c>
    </row>
    <row r="295" spans="1:21" x14ac:dyDescent="0.2">
      <c r="A295" s="31">
        <v>0.51390982595587231</v>
      </c>
      <c r="B295" s="46" t="s">
        <v>1705</v>
      </c>
      <c r="C295" s="32">
        <v>0</v>
      </c>
      <c r="D295" s="32">
        <v>0</v>
      </c>
      <c r="E295" s="31">
        <v>0.50000000052480864</v>
      </c>
      <c r="F295" s="31">
        <v>0</v>
      </c>
      <c r="G295" s="31">
        <v>0</v>
      </c>
      <c r="H295" s="31">
        <v>0</v>
      </c>
      <c r="I295" s="31">
        <v>0</v>
      </c>
      <c r="J295" s="47" t="s">
        <v>1706</v>
      </c>
      <c r="K295" s="32">
        <v>0.3867465022563934</v>
      </c>
      <c r="L295" s="32">
        <v>0.38674577406840982</v>
      </c>
      <c r="M295" s="31">
        <v>-1.6124181280611216E-2</v>
      </c>
      <c r="N295" s="31">
        <v>8.1575360789144498E-4</v>
      </c>
      <c r="O295" s="31">
        <v>5.1462496436070353</v>
      </c>
      <c r="P295" s="31">
        <v>-1.2932146608497126</v>
      </c>
      <c r="Q295" s="31">
        <v>-2.0473096632378098</v>
      </c>
      <c r="R295" s="31">
        <v>0</v>
      </c>
      <c r="S295" s="31">
        <v>0.32000374742353077</v>
      </c>
      <c r="T295" s="26" t="s">
        <v>46</v>
      </c>
      <c r="U295" s="26" t="s">
        <v>46</v>
      </c>
    </row>
    <row r="296" spans="1:21" x14ac:dyDescent="0.2">
      <c r="A296" s="31">
        <v>0.54817048101959709</v>
      </c>
      <c r="B296" s="46" t="s">
        <v>1707</v>
      </c>
      <c r="C296" s="32">
        <v>0.61907271393537533</v>
      </c>
      <c r="D296" s="32">
        <v>0.61907291147494825</v>
      </c>
      <c r="E296" s="31">
        <v>0.91678476264689579</v>
      </c>
      <c r="F296" s="31">
        <v>1.9369607252192288E-3</v>
      </c>
      <c r="G296" s="31">
        <v>19.559958521574483</v>
      </c>
      <c r="H296" s="31">
        <v>-8.0523412556615952</v>
      </c>
      <c r="I296" s="31">
        <v>48.935903958700315</v>
      </c>
      <c r="J296" s="47" t="s">
        <v>1708</v>
      </c>
      <c r="K296" s="32">
        <v>0.3918247333526611</v>
      </c>
      <c r="L296" s="32">
        <v>0.39182352725859482</v>
      </c>
      <c r="M296" s="31">
        <v>-2.6817767824658834E-2</v>
      </c>
      <c r="N296" s="31">
        <v>1.2385363215157261E-3</v>
      </c>
      <c r="O296" s="31">
        <v>7.9160047489327736</v>
      </c>
      <c r="P296" s="31">
        <v>-2.0145994443242619</v>
      </c>
      <c r="Q296" s="31">
        <v>-3.4416838190291474</v>
      </c>
      <c r="R296" s="31">
        <v>69.89999613613341</v>
      </c>
      <c r="S296" s="31">
        <v>0.58000954740136201</v>
      </c>
      <c r="T296" s="26" t="s">
        <v>46</v>
      </c>
      <c r="U296" s="26" t="s">
        <v>46</v>
      </c>
    </row>
    <row r="297" spans="1:21" x14ac:dyDescent="0.2">
      <c r="A297" s="31">
        <v>0.58243113608332198</v>
      </c>
      <c r="B297" s="46" t="s">
        <v>1709</v>
      </c>
      <c r="C297" s="32">
        <v>0</v>
      </c>
      <c r="D297" s="32">
        <v>0</v>
      </c>
      <c r="E297" s="31">
        <v>0.50000000052480864</v>
      </c>
      <c r="F297" s="31">
        <v>0</v>
      </c>
      <c r="G297" s="31">
        <v>0</v>
      </c>
      <c r="H297" s="31">
        <v>0</v>
      </c>
      <c r="I297" s="31">
        <v>0</v>
      </c>
      <c r="J297" s="47" t="s">
        <v>1710</v>
      </c>
      <c r="K297" s="32">
        <v>0.36746638994216912</v>
      </c>
      <c r="L297" s="32">
        <v>0.36746576435029732</v>
      </c>
      <c r="M297" s="31">
        <v>-3.2363023450708073E-2</v>
      </c>
      <c r="N297" s="31">
        <v>1.5436384152835612E-3</v>
      </c>
      <c r="O297" s="31">
        <v>9.2527036547704355</v>
      </c>
      <c r="P297" s="31">
        <v>-2.2073226543856883</v>
      </c>
      <c r="Q297" s="31">
        <v>-4.1304114314804483</v>
      </c>
      <c r="R297" s="31">
        <v>0</v>
      </c>
      <c r="S297" s="31">
        <v>0.67000578840232106</v>
      </c>
      <c r="T297" s="26" t="s">
        <v>46</v>
      </c>
      <c r="U297" s="26" t="s">
        <v>46</v>
      </c>
    </row>
    <row r="298" spans="1:21" x14ac:dyDescent="0.2">
      <c r="A298" s="31">
        <v>0.61669179114704675</v>
      </c>
      <c r="B298" s="46" t="s">
        <v>1711</v>
      </c>
      <c r="C298" s="32">
        <v>0.27076828694343569</v>
      </c>
      <c r="D298" s="32">
        <v>0.2707677340698571</v>
      </c>
      <c r="E298" s="31">
        <v>0.98483895787790077</v>
      </c>
      <c r="F298" s="31">
        <v>1.1051890142534581E-3</v>
      </c>
      <c r="G298" s="31">
        <v>4.8813484307508999</v>
      </c>
      <c r="H298" s="31">
        <v>-1.0639638767444055</v>
      </c>
      <c r="I298" s="31">
        <v>66.958281207808369</v>
      </c>
      <c r="J298" s="47" t="s">
        <v>1712</v>
      </c>
      <c r="K298" s="32">
        <v>0.35269374415874477</v>
      </c>
      <c r="L298" s="32">
        <v>0.35269336837747411</v>
      </c>
      <c r="M298" s="31">
        <v>-4.2162013970882706E-2</v>
      </c>
      <c r="N298" s="31">
        <v>1.9964770094457102E-3</v>
      </c>
      <c r="O298" s="31">
        <v>11.485965883972609</v>
      </c>
      <c r="P298" s="31">
        <v>-2.6285595660905199</v>
      </c>
      <c r="Q298" s="31">
        <v>-5.3788322458001918</v>
      </c>
      <c r="R298" s="31">
        <v>56.300002698757069</v>
      </c>
      <c r="S298" s="31">
        <v>0.87000431620520957</v>
      </c>
      <c r="T298" s="26" t="s">
        <v>46</v>
      </c>
      <c r="U298" s="26" t="s">
        <v>46</v>
      </c>
    </row>
    <row r="299" spans="1:21" x14ac:dyDescent="0.2">
      <c r="A299" s="31">
        <v>0.65095244621077153</v>
      </c>
      <c r="B299" s="46" t="s">
        <v>1713</v>
      </c>
      <c r="C299" s="32">
        <v>0.19827403469085692</v>
      </c>
      <c r="D299" s="32">
        <v>0.19827398430393131</v>
      </c>
      <c r="E299" s="31">
        <v>0.99493138873649867</v>
      </c>
      <c r="F299" s="31">
        <v>5.7797746475424943E-4</v>
      </c>
      <c r="G299" s="31">
        <v>1.8693137560506143</v>
      </c>
      <c r="H299" s="31">
        <v>-0.45828553582445597</v>
      </c>
      <c r="I299" s="31">
        <v>72.030580519660617</v>
      </c>
      <c r="J299" s="47" t="s">
        <v>1714</v>
      </c>
      <c r="K299" s="32">
        <v>0.33553075354099277</v>
      </c>
      <c r="L299" s="32">
        <v>0.3355311952040736</v>
      </c>
      <c r="M299" s="31">
        <v>-5.3167201024091559E-2</v>
      </c>
      <c r="N299" s="31">
        <v>2.5271613021813871E-3</v>
      </c>
      <c r="O299" s="31">
        <v>13.831546685718619</v>
      </c>
      <c r="P299" s="31">
        <v>-3.0094862114416174</v>
      </c>
      <c r="Q299" s="31">
        <v>-6.7697217666286891</v>
      </c>
      <c r="R299" s="31">
        <v>51.150000094188897</v>
      </c>
      <c r="S299" s="31">
        <v>1.0799938911079008</v>
      </c>
      <c r="T299" s="26" t="s">
        <v>46</v>
      </c>
      <c r="U299" s="26" t="s">
        <v>46</v>
      </c>
    </row>
    <row r="300" spans="1:21" x14ac:dyDescent="0.2">
      <c r="A300" s="31">
        <v>0.68521310127449642</v>
      </c>
      <c r="B300" s="46" t="s">
        <v>1715</v>
      </c>
      <c r="C300" s="32">
        <v>0</v>
      </c>
      <c r="D300" s="32">
        <v>0</v>
      </c>
      <c r="E300" s="31">
        <v>0.50000000052480864</v>
      </c>
      <c r="F300" s="31">
        <v>0</v>
      </c>
      <c r="G300" s="31">
        <v>0</v>
      </c>
      <c r="H300" s="31">
        <v>0</v>
      </c>
      <c r="I300" s="31">
        <v>0</v>
      </c>
      <c r="J300" s="47" t="s">
        <v>1716</v>
      </c>
      <c r="K300" s="32">
        <v>0.31971599751710889</v>
      </c>
      <c r="L300" s="32">
        <v>0.31971599718457339</v>
      </c>
      <c r="M300" s="31">
        <v>-6.7162158173033393E-2</v>
      </c>
      <c r="N300" s="31">
        <v>3.184869218608432E-3</v>
      </c>
      <c r="O300" s="31">
        <v>16.609686023558766</v>
      </c>
      <c r="P300" s="31">
        <v>-3.4412329425657866</v>
      </c>
      <c r="Q300" s="31">
        <v>-8.5407459520018065</v>
      </c>
      <c r="R300" s="31">
        <v>0</v>
      </c>
      <c r="S300" s="31">
        <v>1.3500000055233365</v>
      </c>
      <c r="T300" s="26" t="s">
        <v>46</v>
      </c>
      <c r="U300" s="26" t="s">
        <v>46</v>
      </c>
    </row>
    <row r="301" spans="1:21" x14ac:dyDescent="0.2">
      <c r="A301" s="31">
        <v>0.71947375633822119</v>
      </c>
      <c r="B301" s="46" t="s">
        <v>1717</v>
      </c>
      <c r="C301" s="32">
        <v>0.21592482159137727</v>
      </c>
      <c r="D301" s="32">
        <v>0.21592477763475526</v>
      </c>
      <c r="E301" s="31">
        <v>0.96756223047973899</v>
      </c>
      <c r="F301" s="31">
        <v>2.6320084690806896E-3</v>
      </c>
      <c r="G301" s="31">
        <v>9.2703323413285297</v>
      </c>
      <c r="H301" s="31">
        <v>-1.5361298253562852</v>
      </c>
      <c r="I301" s="31">
        <v>76.362153770016846</v>
      </c>
      <c r="J301" s="47" t="s">
        <v>1718</v>
      </c>
      <c r="K301" s="32">
        <v>0.30727433133125315</v>
      </c>
      <c r="L301" s="32">
        <v>0.30727420133399147</v>
      </c>
      <c r="M301" s="31">
        <v>-8.6072578371708786E-2</v>
      </c>
      <c r="N301" s="31">
        <v>4.0025161852684397E-3</v>
      </c>
      <c r="O301" s="31">
        <v>20.061566009206434</v>
      </c>
      <c r="P301" s="31">
        <v>-3.9915364479934556</v>
      </c>
      <c r="Q301" s="31">
        <v>-10.953079598494977</v>
      </c>
      <c r="R301" s="31">
        <v>41.500000407492351</v>
      </c>
      <c r="S301" s="31">
        <v>1.7400026079478086</v>
      </c>
      <c r="T301" s="26" t="s">
        <v>46</v>
      </c>
      <c r="U301" s="26" t="s">
        <v>46</v>
      </c>
    </row>
    <row r="302" spans="1:21" x14ac:dyDescent="0.2">
      <c r="A302" s="31">
        <v>0.75373441140194597</v>
      </c>
      <c r="B302" s="46" t="s">
        <v>1719</v>
      </c>
      <c r="C302" s="32">
        <v>0.15594304466247561</v>
      </c>
      <c r="D302" s="32">
        <v>0.15594262313368573</v>
      </c>
      <c r="E302" s="31">
        <v>0.98433042822982497</v>
      </c>
      <c r="F302" s="31">
        <v>1.9741029298968611E-3</v>
      </c>
      <c r="G302" s="31">
        <v>5.0215900412089214</v>
      </c>
      <c r="H302" s="31">
        <v>-0.7582622209660258</v>
      </c>
      <c r="I302" s="31">
        <v>82.257197372773291</v>
      </c>
      <c r="J302" s="47" t="s">
        <v>1720</v>
      </c>
      <c r="K302" s="32">
        <v>0.29281424709558479</v>
      </c>
      <c r="L302" s="32">
        <v>0.29281444675294571</v>
      </c>
      <c r="M302" s="31">
        <v>-0.10780936725076418</v>
      </c>
      <c r="N302" s="31">
        <v>4.9558068191776581E-3</v>
      </c>
      <c r="O302" s="31">
        <v>23.670750337185108</v>
      </c>
      <c r="P302" s="31">
        <v>-4.4838098682068761</v>
      </c>
      <c r="Q302" s="31">
        <v>-13.711949008877358</v>
      </c>
      <c r="R302" s="31">
        <v>36.250002116732347</v>
      </c>
      <c r="S302" s="31">
        <v>2.169995273958512</v>
      </c>
      <c r="T302" s="26" t="s">
        <v>46</v>
      </c>
      <c r="U302" s="26" t="s">
        <v>46</v>
      </c>
    </row>
    <row r="303" spans="1:21" x14ac:dyDescent="0.2">
      <c r="A303" s="31">
        <v>0.78799506646567086</v>
      </c>
      <c r="B303" s="46" t="s">
        <v>1721</v>
      </c>
      <c r="C303" s="32">
        <v>0.18954949061870574</v>
      </c>
      <c r="D303" s="32">
        <v>0.18954907780286775</v>
      </c>
      <c r="E303" s="31">
        <v>0.93697893881102423</v>
      </c>
      <c r="F303" s="31">
        <v>5.1130825061701038E-3</v>
      </c>
      <c r="G303" s="31">
        <v>15.809235700440471</v>
      </c>
      <c r="H303" s="31">
        <v>-2.1976040001601538</v>
      </c>
      <c r="I303" s="31">
        <v>80.334485327167911</v>
      </c>
      <c r="J303" s="47" t="s">
        <v>1722</v>
      </c>
      <c r="K303" s="32">
        <v>0.27948997004032133</v>
      </c>
      <c r="L303" s="32">
        <v>0.2794902761942652</v>
      </c>
      <c r="M303" s="31">
        <v>-0.13487921151371496</v>
      </c>
      <c r="N303" s="31">
        <v>6.0787055613295265E-3</v>
      </c>
      <c r="O303" s="31">
        <v>27.712951827221637</v>
      </c>
      <c r="P303" s="31">
        <v>-5.0051127154686847</v>
      </c>
      <c r="Q303" s="31">
        <v>-17.15881207788685</v>
      </c>
      <c r="R303" s="31">
        <v>31.850006526288055</v>
      </c>
      <c r="S303" s="31">
        <v>2.7199915155660976</v>
      </c>
      <c r="T303" s="26" t="s">
        <v>46</v>
      </c>
      <c r="U303" s="26" t="s">
        <v>46</v>
      </c>
    </row>
    <row r="304" spans="1:21" x14ac:dyDescent="0.2">
      <c r="A304" s="31">
        <v>0.82225572152939563</v>
      </c>
      <c r="B304" s="46" t="s">
        <v>1723</v>
      </c>
      <c r="C304" s="32">
        <v>0</v>
      </c>
      <c r="D304" s="32">
        <v>170.92036057071192</v>
      </c>
      <c r="E304" s="31">
        <v>0.50000000052480864</v>
      </c>
      <c r="F304" s="31">
        <v>0</v>
      </c>
      <c r="G304" s="31">
        <v>0</v>
      </c>
      <c r="H304" s="31">
        <v>0</v>
      </c>
      <c r="I304" s="31">
        <v>0</v>
      </c>
      <c r="J304" s="47" t="s">
        <v>1724</v>
      </c>
      <c r="K304" s="32">
        <v>0.27122747347354892</v>
      </c>
      <c r="L304" s="32">
        <v>0.27122735554390642</v>
      </c>
      <c r="M304" s="31">
        <v>-0.17090474005142442</v>
      </c>
      <c r="N304" s="31">
        <v>7.3299718770311597E-3</v>
      </c>
      <c r="O304" s="31">
        <v>32.429588572468511</v>
      </c>
      <c r="P304" s="31">
        <v>-5.6768015115672039</v>
      </c>
      <c r="Q304" s="31">
        <v>-21.821127379210381</v>
      </c>
      <c r="R304" s="31">
        <v>0</v>
      </c>
      <c r="S304" s="31">
        <v>3.5500038244092336</v>
      </c>
      <c r="T304" s="26" t="s">
        <v>46</v>
      </c>
      <c r="U304" s="26" t="s">
        <v>46</v>
      </c>
    </row>
    <row r="305" spans="1:21" x14ac:dyDescent="0.2">
      <c r="A305" s="31">
        <v>0.85651637659312052</v>
      </c>
      <c r="B305" s="46" t="s">
        <v>1725</v>
      </c>
      <c r="C305" s="32">
        <v>0.16932525646686553</v>
      </c>
      <c r="D305" s="32">
        <v>0.1693251922512321</v>
      </c>
      <c r="E305" s="31">
        <v>0.87101059335242093</v>
      </c>
      <c r="F305" s="31">
        <v>9.7292680513043506E-3</v>
      </c>
      <c r="G305" s="31">
        <v>26.872456154301538</v>
      </c>
      <c r="H305" s="31">
        <v>-3.2108576150712747</v>
      </c>
      <c r="I305" s="31">
        <v>80.007147862009973</v>
      </c>
      <c r="J305" s="47" t="s">
        <v>1726</v>
      </c>
      <c r="K305" s="32">
        <v>0.25979716204404835</v>
      </c>
      <c r="L305" s="32">
        <v>0.25979711343214101</v>
      </c>
      <c r="M305" s="31">
        <v>-0.21108908438246266</v>
      </c>
      <c r="N305" s="31">
        <v>8.7121876243994624E-3</v>
      </c>
      <c r="O305" s="31">
        <v>36.920457542971505</v>
      </c>
      <c r="P305" s="31">
        <v>-6.1809341925310459</v>
      </c>
      <c r="Q305" s="31">
        <v>-27.001884595430941</v>
      </c>
      <c r="R305" s="31">
        <v>22.650001725631455</v>
      </c>
      <c r="S305" s="31">
        <v>4.450001794773784</v>
      </c>
      <c r="T305" s="26" t="s">
        <v>46</v>
      </c>
      <c r="U305" s="26" t="s">
        <v>46</v>
      </c>
    </row>
    <row r="306" spans="1:21" x14ac:dyDescent="0.2">
      <c r="A306" s="31">
        <v>0.8907770316568453</v>
      </c>
      <c r="B306" s="46" t="s">
        <v>1727</v>
      </c>
      <c r="C306" s="32">
        <v>0.1707757709264755</v>
      </c>
      <c r="D306" s="32">
        <v>0.17077565535591199</v>
      </c>
      <c r="E306" s="31">
        <v>0.80521828779067273</v>
      </c>
      <c r="F306" s="31">
        <v>1.2632116398866996E-2</v>
      </c>
      <c r="G306" s="31">
        <v>35.18907293779214</v>
      </c>
      <c r="H306" s="31">
        <v>-4.1505332162993334</v>
      </c>
      <c r="I306" s="31">
        <v>75.678635773297856</v>
      </c>
      <c r="J306" s="47" t="s">
        <v>1728</v>
      </c>
      <c r="K306" s="32">
        <v>0.25352161279916774</v>
      </c>
      <c r="L306" s="32">
        <v>0.25352141058643468</v>
      </c>
      <c r="M306" s="31">
        <v>-0.26102749056537078</v>
      </c>
      <c r="N306" s="31">
        <v>1.0038032587493254E-2</v>
      </c>
      <c r="O306" s="31">
        <v>41.511558840477903</v>
      </c>
      <c r="P306" s="31">
        <v>-6.7697991079667075</v>
      </c>
      <c r="Q306" s="31">
        <v>-33.579223412973342</v>
      </c>
      <c r="R306" s="31">
        <v>18.700004066820156</v>
      </c>
      <c r="S306" s="31">
        <v>5.7500083941648503</v>
      </c>
      <c r="T306" s="26" t="s">
        <v>46</v>
      </c>
      <c r="U306" s="26" t="s">
        <v>46</v>
      </c>
    </row>
    <row r="307" spans="1:21" x14ac:dyDescent="0.2">
      <c r="A307" s="31">
        <v>0.92503768672057007</v>
      </c>
      <c r="B307" s="46" t="s">
        <v>1729</v>
      </c>
      <c r="C307" s="32">
        <v>0.17413884735107421</v>
      </c>
      <c r="D307" s="32">
        <v>0.17413899234134789</v>
      </c>
      <c r="E307" s="31">
        <v>0.72543395479129114</v>
      </c>
      <c r="F307" s="31">
        <v>1.4991087986661673E-2</v>
      </c>
      <c r="G307" s="31">
        <v>42.582805485765249</v>
      </c>
      <c r="H307" s="31">
        <v>-5.0495157763033278</v>
      </c>
      <c r="I307" s="31">
        <v>69.403280070748963</v>
      </c>
      <c r="J307" s="47" t="s">
        <v>1730</v>
      </c>
      <c r="K307" s="32">
        <v>0.2459271539568901</v>
      </c>
      <c r="L307" s="32">
        <v>0.24592694032978352</v>
      </c>
      <c r="M307" s="31">
        <v>-0.31638020514054277</v>
      </c>
      <c r="N307" s="31">
        <v>1.1331002081368984E-2</v>
      </c>
      <c r="O307" s="31">
        <v>45.454852751940379</v>
      </c>
      <c r="P307" s="31">
        <v>-7.1750628850272395</v>
      </c>
      <c r="Q307" s="31">
        <v>-40.914884596848019</v>
      </c>
      <c r="R307" s="31">
        <v>15.249993825906699</v>
      </c>
      <c r="S307" s="31">
        <v>7.2500097103881531</v>
      </c>
      <c r="T307" s="26" t="s">
        <v>46</v>
      </c>
      <c r="U307" s="26" t="s">
        <v>46</v>
      </c>
    </row>
    <row r="308" spans="1:21" x14ac:dyDescent="0.2">
      <c r="A308" s="31">
        <v>0.95929834178429496</v>
      </c>
      <c r="B308" s="46" t="s">
        <v>1731</v>
      </c>
      <c r="C308" s="32">
        <v>0.17273804233670231</v>
      </c>
      <c r="D308" s="32">
        <v>0.17273803545145952</v>
      </c>
      <c r="E308" s="31">
        <v>0.64136656713837459</v>
      </c>
      <c r="F308" s="31">
        <v>1.6935403897840602E-2</v>
      </c>
      <c r="G308" s="31">
        <v>47.718744003693374</v>
      </c>
      <c r="H308" s="31">
        <v>-5.5689049335640153</v>
      </c>
      <c r="I308" s="31">
        <v>62.457741563768053</v>
      </c>
      <c r="J308" s="47" t="s">
        <v>1732</v>
      </c>
      <c r="K308" s="32">
        <v>0.24192858340144158</v>
      </c>
      <c r="L308" s="32">
        <v>0.24192872844633567</v>
      </c>
      <c r="M308" s="31">
        <v>-0.37811180222149599</v>
      </c>
      <c r="N308" s="31">
        <v>1.2303892062424517E-2</v>
      </c>
      <c r="O308" s="31">
        <v>48.555132891072255</v>
      </c>
      <c r="P308" s="31">
        <v>-7.520866278675892</v>
      </c>
      <c r="Q308" s="31">
        <v>-49.308139032936985</v>
      </c>
      <c r="R308" s="31">
        <v>12.050000328555143</v>
      </c>
      <c r="S308" s="31">
        <v>9.199992957325815</v>
      </c>
      <c r="T308" s="26" t="s">
        <v>46</v>
      </c>
      <c r="U308" s="26" t="s">
        <v>46</v>
      </c>
    </row>
    <row r="309" spans="1:21" x14ac:dyDescent="0.2">
      <c r="A309" s="31">
        <v>0.99355899684801974</v>
      </c>
      <c r="B309" s="46" t="s">
        <v>1733</v>
      </c>
      <c r="C309" s="32">
        <v>0.17041171182394027</v>
      </c>
      <c r="D309" s="32">
        <v>0.17041190805706508</v>
      </c>
      <c r="E309" s="31">
        <v>0.55160118777624945</v>
      </c>
      <c r="F309" s="31">
        <v>1.8176262962276857E-2</v>
      </c>
      <c r="G309" s="31">
        <v>50.525368338589431</v>
      </c>
      <c r="H309" s="31">
        <v>-5.7849875815935397</v>
      </c>
      <c r="I309" s="31">
        <v>54.568970150399977</v>
      </c>
      <c r="J309" s="47" t="s">
        <v>1734</v>
      </c>
      <c r="K309" s="32">
        <v>0.23865562769770621</v>
      </c>
      <c r="L309" s="32">
        <v>0.23865573523996134</v>
      </c>
      <c r="M309" s="31">
        <v>-0.4428284906907396</v>
      </c>
      <c r="N309" s="31">
        <v>1.2953743263511126E-2</v>
      </c>
      <c r="O309" s="31">
        <v>50.428078151825545</v>
      </c>
      <c r="P309" s="31">
        <v>-7.681919777148015</v>
      </c>
      <c r="Q309" s="31">
        <v>-58.303154364146991</v>
      </c>
      <c r="R309" s="31">
        <v>9.2499900852490953</v>
      </c>
      <c r="S309" s="31">
        <v>11.499994576850762</v>
      </c>
      <c r="T309" s="26" t="s">
        <v>46</v>
      </c>
      <c r="U309" s="26" t="s">
        <v>46</v>
      </c>
    </row>
    <row r="310" spans="1:21" x14ac:dyDescent="0.2">
      <c r="A310" s="31">
        <v>1.0278196519117446</v>
      </c>
      <c r="B310" s="46" t="s">
        <v>1735</v>
      </c>
      <c r="C310" s="32">
        <v>0.1690445232689381</v>
      </c>
      <c r="D310" s="32">
        <v>0.16904467622986288</v>
      </c>
      <c r="E310" s="31">
        <v>0.46032879871332755</v>
      </c>
      <c r="F310" s="31">
        <v>1.8386618784021602E-2</v>
      </c>
      <c r="G310" s="31">
        <v>50.70005481064338</v>
      </c>
      <c r="H310" s="31">
        <v>-5.7338221215424223</v>
      </c>
      <c r="I310" s="31">
        <v>46.128844833908239</v>
      </c>
      <c r="J310" s="47" t="s">
        <v>1736</v>
      </c>
      <c r="K310" s="32">
        <v>0.23696157271862028</v>
      </c>
      <c r="L310" s="32">
        <v>0.23696173343022406</v>
      </c>
      <c r="M310" s="31">
        <v>-0.5080332143978239</v>
      </c>
      <c r="N310" s="31">
        <v>1.3179270096314886E-2</v>
      </c>
      <c r="O310" s="31">
        <v>50.941852518365806</v>
      </c>
      <c r="P310" s="31">
        <v>-7.6775325380012172</v>
      </c>
      <c r="Q310" s="31">
        <v>-67.659019840774533</v>
      </c>
      <c r="R310" s="31">
        <v>6.9499922448726323</v>
      </c>
      <c r="S310" s="31">
        <v>14.199991813053174</v>
      </c>
      <c r="T310" s="26" t="s">
        <v>46</v>
      </c>
      <c r="U310" s="26" t="s">
        <v>46</v>
      </c>
    </row>
    <row r="311" spans="1:21" x14ac:dyDescent="0.2">
      <c r="A311" s="31">
        <v>1.0620803069754694</v>
      </c>
      <c r="B311" s="46" t="s">
        <v>1737</v>
      </c>
      <c r="C311" s="32">
        <v>0.16691917626857761</v>
      </c>
      <c r="D311" s="32">
        <v>0.16691911049535474</v>
      </c>
      <c r="E311" s="31">
        <v>0.37175332822906115</v>
      </c>
      <c r="F311" s="31">
        <v>1.7737869757463793E-2</v>
      </c>
      <c r="G311" s="31">
        <v>48.296220606456799</v>
      </c>
      <c r="H311" s="31">
        <v>-5.3761592967949454</v>
      </c>
      <c r="I311" s="31">
        <v>37.683762692374337</v>
      </c>
      <c r="J311" s="47" t="s">
        <v>1738</v>
      </c>
      <c r="K311" s="32">
        <v>0.2380219216763973</v>
      </c>
      <c r="L311" s="32">
        <v>0.2380217880251389</v>
      </c>
      <c r="M311" s="31">
        <v>-0.57006359302495779</v>
      </c>
      <c r="N311" s="31">
        <v>1.2920311720481097E-2</v>
      </c>
      <c r="O311" s="31">
        <v>50.164374450163464</v>
      </c>
      <c r="P311" s="31">
        <v>-7.5639163758442898</v>
      </c>
      <c r="Q311" s="31">
        <v>-77.004763731294901</v>
      </c>
      <c r="R311" s="31">
        <v>5.050003176598004</v>
      </c>
      <c r="S311" s="31">
        <v>17.350006704531641</v>
      </c>
      <c r="T311" s="26" t="s">
        <v>46</v>
      </c>
      <c r="U311" s="26" t="s">
        <v>46</v>
      </c>
    </row>
    <row r="312" spans="1:21" x14ac:dyDescent="0.2">
      <c r="A312" s="31">
        <v>1.0963409620391942</v>
      </c>
      <c r="B312" s="46" t="s">
        <v>1739</v>
      </c>
      <c r="C312" s="32">
        <v>0.16577872000336646</v>
      </c>
      <c r="D312" s="32">
        <v>0.16577882635841709</v>
      </c>
      <c r="E312" s="31">
        <v>0.29139912320720629</v>
      </c>
      <c r="F312" s="31">
        <v>1.6203475254228286E-2</v>
      </c>
      <c r="G312" s="31">
        <v>43.816976266331096</v>
      </c>
      <c r="H312" s="31">
        <v>-4.8317813592590344</v>
      </c>
      <c r="I312" s="31">
        <v>29.812974665047125</v>
      </c>
      <c r="J312" s="47" t="s">
        <v>1740</v>
      </c>
      <c r="K312" s="32">
        <v>0.24149693375825884</v>
      </c>
      <c r="L312" s="32">
        <v>0.24149688640028713</v>
      </c>
      <c r="M312" s="31">
        <v>-0.62597028934057319</v>
      </c>
      <c r="N312" s="31">
        <v>1.2284085887712289E-2</v>
      </c>
      <c r="O312" s="31">
        <v>48.390478581779725</v>
      </c>
      <c r="P312" s="31">
        <v>-7.3711169617978411</v>
      </c>
      <c r="Q312" s="31">
        <v>-85.972401048867567</v>
      </c>
      <c r="R312" s="31">
        <v>3.5999953398426925</v>
      </c>
      <c r="S312" s="31">
        <v>20.900002291674877</v>
      </c>
      <c r="T312" s="26" t="s">
        <v>46</v>
      </c>
      <c r="U312" s="26" t="s">
        <v>46</v>
      </c>
    </row>
    <row r="313" spans="1:21" x14ac:dyDescent="0.2">
      <c r="A313" s="31">
        <v>1.130601617102919</v>
      </c>
      <c r="B313" s="46" t="s">
        <v>1741</v>
      </c>
      <c r="C313" s="32">
        <v>0.16415189794301988</v>
      </c>
      <c r="D313" s="32">
        <v>0.16415169658931439</v>
      </c>
      <c r="E313" s="31">
        <v>0.22053719242525816</v>
      </c>
      <c r="F313" s="31">
        <v>1.4142875981284997E-2</v>
      </c>
      <c r="G313" s="31">
        <v>37.869458364702894</v>
      </c>
      <c r="H313" s="31">
        <v>-4.1266601708372459</v>
      </c>
      <c r="I313" s="31">
        <v>22.750407913957673</v>
      </c>
      <c r="J313" s="47" t="s">
        <v>1742</v>
      </c>
      <c r="K313" s="32">
        <v>0.24627619293928146</v>
      </c>
      <c r="L313" s="32">
        <v>0.24627609933991701</v>
      </c>
      <c r="M313" s="31">
        <v>-0.67494107842793705</v>
      </c>
      <c r="N313" s="31">
        <v>1.1443437678997423E-2</v>
      </c>
      <c r="O313" s="31">
        <v>45.97104671090139</v>
      </c>
      <c r="P313" s="31">
        <v>-7.1078097787400081</v>
      </c>
      <c r="Q313" s="31">
        <v>-94.394553566091801</v>
      </c>
      <c r="R313" s="31">
        <v>2.4800076251524672</v>
      </c>
      <c r="S313" s="31">
        <v>24.750004302860521</v>
      </c>
      <c r="T313" s="26" t="s">
        <v>46</v>
      </c>
      <c r="U313" s="26" t="s">
        <v>46</v>
      </c>
    </row>
    <row r="314" spans="1:21" x14ac:dyDescent="0.2">
      <c r="A314" s="31">
        <v>1.164862272166644</v>
      </c>
      <c r="B314" s="46" t="s">
        <v>1743</v>
      </c>
      <c r="C314" s="32">
        <v>0.16294242064952849</v>
      </c>
      <c r="D314" s="32">
        <v>0.16294224864639917</v>
      </c>
      <c r="E314" s="31">
        <v>0.16194105724340846</v>
      </c>
      <c r="F314" s="31">
        <v>1.1784043992569538E-2</v>
      </c>
      <c r="G314" s="31">
        <v>31.320881113900874</v>
      </c>
      <c r="H314" s="31">
        <v>-3.3823352394700397</v>
      </c>
      <c r="I314" s="31">
        <v>16.821390329975884</v>
      </c>
      <c r="J314" s="47" t="s">
        <v>1744</v>
      </c>
      <c r="K314" s="32">
        <v>0.19276808779239651</v>
      </c>
      <c r="L314" s="32">
        <v>0.19276798295583836</v>
      </c>
      <c r="M314" s="31">
        <v>-0.79097051731399126</v>
      </c>
      <c r="N314" s="31">
        <v>1.1674133739623163E-2</v>
      </c>
      <c r="O314" s="31">
        <v>36.708383115544883</v>
      </c>
      <c r="P314" s="31">
        <v>-4.2933647482336434</v>
      </c>
      <c r="Q314" s="31">
        <v>-108.6653050411082</v>
      </c>
      <c r="R314" s="31">
        <v>1.670005387286416</v>
      </c>
      <c r="S314" s="31">
        <v>26.450003848379716</v>
      </c>
      <c r="T314" s="26" t="s">
        <v>46</v>
      </c>
      <c r="U314" s="26" t="s">
        <v>46</v>
      </c>
    </row>
    <row r="315" spans="1:21" x14ac:dyDescent="0.2">
      <c r="A315" s="31">
        <v>1.1991229272303687</v>
      </c>
      <c r="B315" s="46" t="s">
        <v>1745</v>
      </c>
      <c r="C315" s="32">
        <v>0.16200545125007629</v>
      </c>
      <c r="D315" s="32">
        <v>0.16200577874142308</v>
      </c>
      <c r="E315" s="31">
        <v>0.11555647931621515</v>
      </c>
      <c r="F315" s="31">
        <v>9.4132304611547687E-3</v>
      </c>
      <c r="G315" s="31">
        <v>24.87561185708374</v>
      </c>
      <c r="H315" s="31">
        <v>-2.6672324249567598</v>
      </c>
      <c r="I315" s="31">
        <v>12.073469270274565</v>
      </c>
      <c r="J315" s="47" t="s">
        <v>1746</v>
      </c>
      <c r="K315" s="32">
        <v>0.26301647446155552</v>
      </c>
      <c r="L315" s="32">
        <v>0.26301651727961134</v>
      </c>
      <c r="M315" s="31">
        <v>-0.74735083247881384</v>
      </c>
      <c r="N315" s="31">
        <v>9.5127580699841119E-3</v>
      </c>
      <c r="O315" s="31">
        <v>40.812655749210371</v>
      </c>
      <c r="P315" s="31">
        <v>-6.680503538390135</v>
      </c>
      <c r="Q315" s="31">
        <v>-109.036096429572</v>
      </c>
      <c r="R315" s="31">
        <v>1.0999918534391622</v>
      </c>
      <c r="S315" s="31">
        <v>33.299998252481345</v>
      </c>
      <c r="T315" s="26" t="s">
        <v>46</v>
      </c>
      <c r="U315" s="26" t="s">
        <v>46</v>
      </c>
    </row>
    <row r="316" spans="1:21" x14ac:dyDescent="0.2">
      <c r="A316" s="31">
        <v>1.2333835822940935</v>
      </c>
      <c r="B316" s="46" t="s">
        <v>1747</v>
      </c>
      <c r="C316" s="32">
        <v>0.16181448115110394</v>
      </c>
      <c r="D316" s="32">
        <v>0.16181447735960058</v>
      </c>
      <c r="E316" s="31">
        <v>8.1055142185483153E-2</v>
      </c>
      <c r="F316" s="31">
        <v>7.2650846759033903E-3</v>
      </c>
      <c r="G316" s="31">
        <v>19.176242696485559</v>
      </c>
      <c r="H316" s="31">
        <v>-2.0513397938605369</v>
      </c>
      <c r="I316" s="31">
        <v>8.5082231845963605</v>
      </c>
      <c r="J316" s="47" t="s">
        <v>1748</v>
      </c>
      <c r="K316" s="32">
        <v>0</v>
      </c>
      <c r="L316" s="32">
        <v>0</v>
      </c>
      <c r="M316" s="31">
        <v>-0.50000000052480864</v>
      </c>
      <c r="N316" s="31">
        <v>0</v>
      </c>
      <c r="O316" s="31">
        <v>0</v>
      </c>
      <c r="P316" s="31">
        <v>0</v>
      </c>
      <c r="Q316" s="31">
        <v>0</v>
      </c>
      <c r="R316" s="31">
        <v>0.72000007270678879</v>
      </c>
      <c r="S316" s="31">
        <v>0</v>
      </c>
      <c r="T316" s="26" t="s">
        <v>46</v>
      </c>
      <c r="U316" s="26" t="s">
        <v>46</v>
      </c>
    </row>
    <row r="317" spans="1:21" x14ac:dyDescent="0.2">
      <c r="A317" s="31">
        <v>1.2676442373578183</v>
      </c>
      <c r="B317" s="46" t="s">
        <v>1749</v>
      </c>
      <c r="C317" s="32">
        <v>0.16076521847248076</v>
      </c>
      <c r="D317" s="32">
        <v>0.16076497261381215</v>
      </c>
      <c r="E317" s="31">
        <v>5.4489504045103443E-2</v>
      </c>
      <c r="F317" s="31">
        <v>5.3780097944023794E-3</v>
      </c>
      <c r="G317" s="31">
        <v>14.103247774301739</v>
      </c>
      <c r="H317" s="31">
        <v>-1.4974688934475142</v>
      </c>
      <c r="I317" s="31">
        <v>5.7457229552618028</v>
      </c>
      <c r="J317" s="47" t="s">
        <v>1750</v>
      </c>
      <c r="K317" s="32">
        <v>0.13471746916770935</v>
      </c>
      <c r="L317" s="32">
        <v>0.13471743872829461</v>
      </c>
      <c r="M317" s="31">
        <v>-0.97367021668298426</v>
      </c>
      <c r="N317" s="31">
        <v>3.5474301628877943E-3</v>
      </c>
      <c r="O317" s="31">
        <v>7.7954864669209396</v>
      </c>
      <c r="P317" s="31">
        <v>-0.26932100123899316</v>
      </c>
      <c r="Q317" s="31">
        <v>-138.62105061761329</v>
      </c>
      <c r="R317" s="31">
        <v>0.45000346739830732</v>
      </c>
      <c r="S317" s="31">
        <v>38.900000237289937</v>
      </c>
      <c r="T317" s="26" t="s">
        <v>46</v>
      </c>
      <c r="U317" s="26" t="s">
        <v>46</v>
      </c>
    </row>
    <row r="318" spans="1:21" x14ac:dyDescent="0.2">
      <c r="A318" s="31">
        <v>1.3019048924215431</v>
      </c>
      <c r="B318" s="46" t="s">
        <v>1751</v>
      </c>
      <c r="C318" s="32">
        <v>0.15831622364521031</v>
      </c>
      <c r="D318" s="32">
        <v>0.15831593618012879</v>
      </c>
      <c r="E318" s="31">
        <v>3.4209621851186589E-2</v>
      </c>
      <c r="F318" s="31">
        <v>3.7504713348707106E-3</v>
      </c>
      <c r="G318" s="31">
        <v>9.6853813346970359</v>
      </c>
      <c r="H318" s="31">
        <v>-1.0119339595979846</v>
      </c>
      <c r="I318" s="31">
        <v>3.6245281587436438</v>
      </c>
      <c r="J318" s="47" t="s">
        <v>1752</v>
      </c>
      <c r="K318" s="32">
        <v>0.21090595573186871</v>
      </c>
      <c r="L318" s="32">
        <v>0.21090591885257332</v>
      </c>
      <c r="M318" s="31">
        <v>-0.90784021144254623</v>
      </c>
      <c r="N318" s="31">
        <v>6.1356100333862821E-3</v>
      </c>
      <c r="O318" s="31">
        <v>21.108241042327638</v>
      </c>
      <c r="P318" s="31">
        <v>-2.4986240944775608</v>
      </c>
      <c r="Q318" s="31">
        <v>-135.78178463255233</v>
      </c>
      <c r="R318" s="31">
        <v>0.26000278419990952</v>
      </c>
      <c r="S318" s="31">
        <v>44.800000778456919</v>
      </c>
      <c r="T318" s="26" t="s">
        <v>46</v>
      </c>
      <c r="U318" s="26" t="s">
        <v>46</v>
      </c>
    </row>
    <row r="319" spans="1:21" x14ac:dyDescent="0.2">
      <c r="A319" s="31">
        <v>1.3361655474852678</v>
      </c>
      <c r="B319" s="46" t="s">
        <v>1753</v>
      </c>
      <c r="C319" s="32">
        <v>0.15835484681129455</v>
      </c>
      <c r="D319" s="32">
        <v>0.1583549490575164</v>
      </c>
      <c r="E319" s="31">
        <v>2.2258264638718828E-2</v>
      </c>
      <c r="F319" s="31">
        <v>2.6207990129505348E-3</v>
      </c>
      <c r="G319" s="31">
        <v>6.7697172363362306</v>
      </c>
      <c r="H319" s="31">
        <v>-0.70696962367675287</v>
      </c>
      <c r="I319" s="31">
        <v>2.3652999382712139</v>
      </c>
      <c r="J319" s="47" t="s">
        <v>1754</v>
      </c>
      <c r="K319" s="32">
        <v>0</v>
      </c>
      <c r="L319" s="32">
        <v>0</v>
      </c>
      <c r="M319" s="31">
        <v>-0.50000000052480864</v>
      </c>
      <c r="N319" s="31">
        <v>0</v>
      </c>
      <c r="O319" s="31">
        <v>0</v>
      </c>
      <c r="P319" s="31">
        <v>0</v>
      </c>
      <c r="Q319" s="31">
        <v>0</v>
      </c>
      <c r="R319" s="31">
        <v>0.15999930782102423</v>
      </c>
      <c r="S319" s="31">
        <v>0</v>
      </c>
      <c r="T319" s="26" t="s">
        <v>46</v>
      </c>
      <c r="U319" s="26" t="s">
        <v>46</v>
      </c>
    </row>
    <row r="320" spans="1:21" x14ac:dyDescent="0.2">
      <c r="A320" s="31">
        <v>1.3704262025489928</v>
      </c>
      <c r="B320" s="46" t="s">
        <v>1755</v>
      </c>
      <c r="C320" s="32">
        <v>0.15189190368652344</v>
      </c>
      <c r="D320" s="32">
        <v>0.15189106889342982</v>
      </c>
      <c r="E320" s="31">
        <v>1.0983879147253628E-2</v>
      </c>
      <c r="F320" s="31">
        <v>1.4909459949748024E-3</v>
      </c>
      <c r="G320" s="31">
        <v>3.6940433703062987</v>
      </c>
      <c r="H320" s="31">
        <v>-0.36983678135986048</v>
      </c>
      <c r="I320" s="31">
        <v>1.1740744402796552</v>
      </c>
      <c r="J320" s="47" t="s">
        <v>1756</v>
      </c>
      <c r="K320" s="32">
        <v>0</v>
      </c>
      <c r="L320" s="32">
        <v>0</v>
      </c>
      <c r="M320" s="31">
        <v>-0.50000000052480864</v>
      </c>
      <c r="N320" s="31">
        <v>0</v>
      </c>
      <c r="O320" s="31">
        <v>0</v>
      </c>
      <c r="P320" s="31">
        <v>0</v>
      </c>
      <c r="Q320" s="31">
        <v>0</v>
      </c>
      <c r="R320" s="31">
        <v>7.0003083714836656E-2</v>
      </c>
      <c r="S320" s="31">
        <v>0</v>
      </c>
      <c r="T320" s="26" t="s">
        <v>46</v>
      </c>
      <c r="U320" s="26" t="s">
        <v>46</v>
      </c>
    </row>
    <row r="321" spans="1:21" x14ac:dyDescent="0.2">
      <c r="A321" s="31">
        <v>1.4389475126764424</v>
      </c>
      <c r="B321" s="46" t="s">
        <v>1757</v>
      </c>
      <c r="C321" s="32">
        <v>0.17194161834716795</v>
      </c>
      <c r="D321" s="32">
        <v>0.17194305798754481</v>
      </c>
      <c r="E321" s="31">
        <v>9.8633283894818957E-3</v>
      </c>
      <c r="F321" s="31">
        <v>1.1991717428824636E-3</v>
      </c>
      <c r="G321" s="31">
        <v>3.3633173562230883</v>
      </c>
      <c r="H321" s="31">
        <v>-0.38068900604958966</v>
      </c>
      <c r="I321" s="31">
        <v>1.0488358916704268</v>
      </c>
      <c r="J321" s="47" t="s">
        <v>1758</v>
      </c>
      <c r="K321" s="32">
        <v>0</v>
      </c>
      <c r="L321" s="32">
        <v>0</v>
      </c>
      <c r="M321" s="31">
        <v>-0.50000000052480864</v>
      </c>
      <c r="N321" s="31">
        <v>0</v>
      </c>
      <c r="O321" s="31">
        <v>0</v>
      </c>
      <c r="P321" s="31">
        <v>0</v>
      </c>
      <c r="Q321" s="31">
        <v>0</v>
      </c>
      <c r="R321" s="31">
        <v>6.999515791523292E-2</v>
      </c>
      <c r="S321" s="31">
        <v>0</v>
      </c>
      <c r="T321" s="26" t="s">
        <v>46</v>
      </c>
      <c r="U321" s="26" t="s">
        <v>46</v>
      </c>
    </row>
    <row r="322" spans="1:21" x14ac:dyDescent="0.2">
      <c r="A322" s="31">
        <v>1.5074688228038919</v>
      </c>
      <c r="B322" s="46" t="s">
        <v>1759</v>
      </c>
      <c r="C322" s="32">
        <v>0.15665256652832035</v>
      </c>
      <c r="D322" s="32">
        <v>0.15663950829071566</v>
      </c>
      <c r="E322" s="31">
        <v>1.7932582223443294E-3</v>
      </c>
      <c r="F322" s="31">
        <v>2.8696804851335882E-4</v>
      </c>
      <c r="G322" s="31">
        <v>0.73329126384385201</v>
      </c>
      <c r="H322" s="31">
        <v>-7.5573047217642297E-2</v>
      </c>
      <c r="I322" s="31">
        <v>0.19277319318346317</v>
      </c>
      <c r="J322" s="47" t="s">
        <v>1760</v>
      </c>
      <c r="K322" s="32">
        <v>0.51120893971920034</v>
      </c>
      <c r="L322" s="32">
        <v>0.51120916085754409</v>
      </c>
      <c r="M322" s="31">
        <v>-0.75483516896916525</v>
      </c>
      <c r="N322" s="31">
        <v>4.8165903284785776E-3</v>
      </c>
      <c r="O322" s="31">
        <v>40.164614341873751</v>
      </c>
      <c r="P322" s="31">
        <v>-12.964054364584612</v>
      </c>
      <c r="Q322" s="31">
        <v>-146.71110514077427</v>
      </c>
      <c r="R322" s="31">
        <v>1.0009571947569296E-2</v>
      </c>
      <c r="S322" s="31">
        <v>81.399991118062204</v>
      </c>
      <c r="T322" s="26" t="s">
        <v>46</v>
      </c>
      <c r="U322" s="26" t="s">
        <v>46</v>
      </c>
    </row>
    <row r="323" spans="1:21" x14ac:dyDescent="0.2">
      <c r="A323" s="31">
        <v>1.5759901329313417</v>
      </c>
      <c r="B323" s="46" t="s">
        <v>1761</v>
      </c>
      <c r="C323" s="32">
        <v>9.3848437499999993E-2</v>
      </c>
      <c r="D323" s="32">
        <v>9.1441057998075115E-2</v>
      </c>
      <c r="E323" s="31">
        <v>2.1802175731444606E-8</v>
      </c>
      <c r="F323" s="31">
        <v>1.0248812527970968E-8</v>
      </c>
      <c r="G323" s="31">
        <v>1.5689389596955203E-5</v>
      </c>
      <c r="H323" s="31">
        <v>-9.6848941317611504E-7</v>
      </c>
      <c r="I323" s="31">
        <v>2.4032861777297071E-6</v>
      </c>
      <c r="J323" s="47" t="s">
        <v>1762</v>
      </c>
      <c r="K323" s="32">
        <v>0</v>
      </c>
      <c r="L323" s="32">
        <v>0</v>
      </c>
      <c r="M323" s="31">
        <v>-0.50000000052480864</v>
      </c>
      <c r="N323" s="31">
        <v>0</v>
      </c>
      <c r="O323" s="31">
        <v>0</v>
      </c>
      <c r="P323" s="31">
        <v>0</v>
      </c>
      <c r="Q323" s="31">
        <v>0</v>
      </c>
      <c r="R323" s="31">
        <v>4.4251060601462925E-8</v>
      </c>
      <c r="S323" s="31">
        <v>0</v>
      </c>
      <c r="T323" s="26" t="s">
        <v>46</v>
      </c>
      <c r="U323" s="26" t="s">
        <v>46</v>
      </c>
    </row>
    <row r="324" spans="1:21" x14ac:dyDescent="0.2">
      <c r="A324" s="31">
        <v>1.6445114430587913</v>
      </c>
      <c r="B324" s="46" t="s">
        <v>1763</v>
      </c>
      <c r="C324" s="32">
        <v>9.3848437499999993E-2</v>
      </c>
      <c r="D324" s="32">
        <v>9.9866185499364352E-2</v>
      </c>
      <c r="E324" s="31">
        <v>1.025990181702241E-9</v>
      </c>
      <c r="F324" s="31">
        <v>5.2479793219086227E-10</v>
      </c>
      <c r="G324" s="31">
        <v>8.0338665531713198E-7</v>
      </c>
      <c r="H324" s="31">
        <v>-4.9562664439697692E-8</v>
      </c>
      <c r="I324" s="31">
        <v>1.1322440617461116E-7</v>
      </c>
      <c r="J324" s="47" t="s">
        <v>1764</v>
      </c>
      <c r="K324" s="32">
        <v>0.53945177229642871</v>
      </c>
      <c r="L324" s="32">
        <v>0.53945151223874666</v>
      </c>
      <c r="M324" s="31">
        <v>-0.7921517475155937</v>
      </c>
      <c r="N324" s="31">
        <v>4.1577245028359099E-3</v>
      </c>
      <c r="O324" s="31">
        <v>36.585903559801437</v>
      </c>
      <c r="P324" s="31">
        <v>-12.388503059543936</v>
      </c>
      <c r="Q324" s="31">
        <v>-165.28045992850093</v>
      </c>
      <c r="R324" s="31">
        <v>1.9192919947913356E-9</v>
      </c>
      <c r="S324" s="31">
        <v>100.20000951444287</v>
      </c>
      <c r="T324" s="26" t="s">
        <v>46</v>
      </c>
      <c r="U324" s="26" t="s">
        <v>46</v>
      </c>
    </row>
    <row r="325" spans="1:21" x14ac:dyDescent="0.2">
      <c r="A325" s="31">
        <v>1.713032753186241</v>
      </c>
      <c r="B325" s="46" t="s">
        <v>1765</v>
      </c>
      <c r="C325" s="32">
        <v>9.3848437499999993E-2</v>
      </c>
      <c r="D325" s="32">
        <v>0.10790988586057122</v>
      </c>
      <c r="E325" s="31">
        <v>4.2771119979079231E-11</v>
      </c>
      <c r="F325" s="31">
        <v>2.3573951836065953E-11</v>
      </c>
      <c r="G325" s="31">
        <v>3.6088172525985332E-8</v>
      </c>
      <c r="H325" s="31">
        <v>-2.2252718695264403E-9</v>
      </c>
      <c r="I325" s="31">
        <v>4.7245112845755663E-9</v>
      </c>
      <c r="J325" s="47" t="s">
        <v>1766</v>
      </c>
      <c r="K325" s="32">
        <v>0</v>
      </c>
      <c r="L325" s="32">
        <v>0</v>
      </c>
      <c r="M325" s="31">
        <v>-0.50000000052480864</v>
      </c>
      <c r="N325" s="31">
        <v>0</v>
      </c>
      <c r="O325" s="31">
        <v>0</v>
      </c>
      <c r="P325" s="31">
        <v>0</v>
      </c>
      <c r="Q325" s="31">
        <v>0</v>
      </c>
      <c r="R325" s="31">
        <v>7.4357269224689173E-11</v>
      </c>
      <c r="S325" s="31">
        <v>0</v>
      </c>
      <c r="T325" s="26" t="s">
        <v>46</v>
      </c>
      <c r="U325" s="26" t="s">
        <v>46</v>
      </c>
    </row>
    <row r="326" spans="1:21" x14ac:dyDescent="0.2">
      <c r="A326" s="31">
        <v>1.7815540633136906</v>
      </c>
      <c r="B326" s="46" t="s">
        <v>1767</v>
      </c>
      <c r="C326" s="32">
        <v>9.3848437499999993E-2</v>
      </c>
      <c r="D326" s="32">
        <v>0.11560289070863632</v>
      </c>
      <c r="E326" s="31">
        <v>1.6086021403793893E-12</v>
      </c>
      <c r="F326" s="31">
        <v>9.4770166570245503E-13</v>
      </c>
      <c r="G326" s="31">
        <v>1.4507886269076786E-9</v>
      </c>
      <c r="H326" s="31">
        <v>-8.9422303931146182E-11</v>
      </c>
      <c r="I326" s="31">
        <v>1.778290039271054E-10</v>
      </c>
      <c r="J326" s="47" t="s">
        <v>1768</v>
      </c>
      <c r="K326" s="32">
        <v>0</v>
      </c>
      <c r="L326" s="32">
        <v>0</v>
      </c>
      <c r="M326" s="31">
        <v>-0.50000000052480864</v>
      </c>
      <c r="N326" s="31">
        <v>0</v>
      </c>
      <c r="O326" s="31">
        <v>0</v>
      </c>
      <c r="P326" s="31">
        <v>0</v>
      </c>
      <c r="Q326" s="31">
        <v>0</v>
      </c>
      <c r="R326" s="31">
        <v>2.6168897128411365E-12</v>
      </c>
      <c r="S326" s="31">
        <v>0</v>
      </c>
      <c r="T326" s="26" t="s">
        <v>46</v>
      </c>
      <c r="U326" s="26" t="s">
        <v>46</v>
      </c>
    </row>
    <row r="327" spans="1:21" x14ac:dyDescent="0.2">
      <c r="A327" s="31">
        <v>1.8500753734411401</v>
      </c>
      <c r="B327" s="46" t="s">
        <v>1769</v>
      </c>
      <c r="C327" s="32">
        <v>9.3848437499999993E-2</v>
      </c>
      <c r="D327" s="32">
        <v>0.12297244004762609</v>
      </c>
      <c r="E327" s="31">
        <v>5.5400128928795311E-14</v>
      </c>
      <c r="F327" s="31">
        <v>3.4681034500742517E-14</v>
      </c>
      <c r="G327" s="31">
        <v>5.3091444537850116E-11</v>
      </c>
      <c r="H327" s="31">
        <v>-3.2713005992170626E-12</v>
      </c>
      <c r="I327" s="31">
        <v>6.141868913915147E-12</v>
      </c>
      <c r="J327" s="47" t="s">
        <v>1770</v>
      </c>
      <c r="K327" s="32">
        <v>0.61094682893753061</v>
      </c>
      <c r="L327" s="32">
        <v>0.61094655849546176</v>
      </c>
      <c r="M327" s="31">
        <v>-0.81058369238452643</v>
      </c>
      <c r="N327" s="31">
        <v>3.471173536999808E-3</v>
      </c>
      <c r="O327" s="31">
        <v>34.592758365311681</v>
      </c>
      <c r="P327" s="31">
        <v>-13.226348679603552</v>
      </c>
      <c r="Q327" s="31">
        <v>-190.20193978636925</v>
      </c>
      <c r="R327" s="31">
        <v>8.4890315248249256E-14</v>
      </c>
      <c r="S327" s="31">
        <v>130.05000935533457</v>
      </c>
      <c r="T327" s="26" t="s">
        <v>46</v>
      </c>
      <c r="U327" s="26" t="s">
        <v>46</v>
      </c>
    </row>
    <row r="328" spans="1:21" x14ac:dyDescent="0.2">
      <c r="A328" s="31">
        <v>1.9185966835685899</v>
      </c>
      <c r="B328" s="46" t="s">
        <v>1771</v>
      </c>
      <c r="C328" s="32">
        <v>9.3848437499999993E-2</v>
      </c>
      <c r="D328" s="32">
        <v>0.13004270316581096</v>
      </c>
      <c r="E328" s="31">
        <v>1.7763568394002505E-15</v>
      </c>
      <c r="F328" s="31">
        <v>1.1722024741618607E-15</v>
      </c>
      <c r="G328" s="31">
        <v>1.7944655786655586E-12</v>
      </c>
      <c r="H328" s="31">
        <v>-1.1051596276270124E-13</v>
      </c>
      <c r="I328" s="31">
        <v>1.9012971762258058E-13</v>
      </c>
      <c r="J328" s="47" t="s">
        <v>1772</v>
      </c>
      <c r="K328" s="32">
        <v>0</v>
      </c>
      <c r="L328" s="32">
        <v>0</v>
      </c>
      <c r="M328" s="31">
        <v>-0.50000000052480864</v>
      </c>
      <c r="N328" s="31">
        <v>0</v>
      </c>
      <c r="O328" s="31">
        <v>0</v>
      </c>
      <c r="P328" s="31">
        <v>0</v>
      </c>
      <c r="Q328" s="31">
        <v>0</v>
      </c>
      <c r="R328" s="31">
        <v>2.5705457366528331E-15</v>
      </c>
      <c r="S328" s="31">
        <v>0</v>
      </c>
      <c r="T328" s="26" t="s">
        <v>46</v>
      </c>
      <c r="U328" s="26" t="s">
        <v>46</v>
      </c>
    </row>
    <row r="329" spans="1:21" x14ac:dyDescent="0.2">
      <c r="A329" s="31">
        <v>0.41112786076469782</v>
      </c>
      <c r="B329" s="46" t="s">
        <v>1773</v>
      </c>
      <c r="C329" s="32">
        <v>0</v>
      </c>
      <c r="D329" s="32">
        <v>0</v>
      </c>
      <c r="E329" s="31">
        <v>0.50000000052480864</v>
      </c>
      <c r="F329" s="31">
        <v>0</v>
      </c>
      <c r="G329" s="31">
        <v>0</v>
      </c>
      <c r="H329" s="31">
        <v>0</v>
      </c>
      <c r="I329" s="31">
        <v>0</v>
      </c>
      <c r="J329" s="47" t="s">
        <v>1774</v>
      </c>
      <c r="K329" s="32">
        <v>0.37146889433860775</v>
      </c>
      <c r="L329" s="32">
        <v>0.37146921271833372</v>
      </c>
      <c r="M329" s="31">
        <v>-2.0575968190106209E-2</v>
      </c>
      <c r="N329" s="31">
        <v>6.8236466965493619E-4</v>
      </c>
      <c r="O329" s="31">
        <v>9.704771867244796</v>
      </c>
      <c r="P329" s="31">
        <v>-0.9942964497459148</v>
      </c>
      <c r="Q329" s="31">
        <v>-6.5844350537710055</v>
      </c>
      <c r="R329" s="31">
        <v>0</v>
      </c>
      <c r="S329" s="31">
        <v>0.65999691019321638</v>
      </c>
      <c r="T329" s="26" t="s">
        <v>46</v>
      </c>
      <c r="U329" s="26" t="s">
        <v>46</v>
      </c>
    </row>
    <row r="330" spans="1:21" x14ac:dyDescent="0.2">
      <c r="A330" s="31">
        <v>0.44538851582842265</v>
      </c>
      <c r="B330" s="46" t="s">
        <v>1775</v>
      </c>
      <c r="C330" s="32">
        <v>0</v>
      </c>
      <c r="D330" s="32">
        <v>0</v>
      </c>
      <c r="E330" s="31">
        <v>0.50000000052480864</v>
      </c>
      <c r="F330" s="31">
        <v>0</v>
      </c>
      <c r="G330" s="31">
        <v>0</v>
      </c>
      <c r="H330" s="31">
        <v>0</v>
      </c>
      <c r="I330" s="31">
        <v>0</v>
      </c>
      <c r="J330" s="47" t="s">
        <v>1776</v>
      </c>
      <c r="K330" s="32">
        <v>0.36776822283267974</v>
      </c>
      <c r="L330" s="32">
        <v>0.36776819126534865</v>
      </c>
      <c r="M330" s="31">
        <v>-2.9031199995688817E-2</v>
      </c>
      <c r="N330" s="31">
        <v>9.2012308294874869E-4</v>
      </c>
      <c r="O330" s="31">
        <v>12.955866732466047</v>
      </c>
      <c r="P330" s="31">
        <v>-1.3133206924639125</v>
      </c>
      <c r="Q330" s="31">
        <v>-9.3598910098570602</v>
      </c>
      <c r="R330" s="31">
        <v>0</v>
      </c>
      <c r="S330" s="31">
        <v>0.97000040898209816</v>
      </c>
      <c r="T330" s="26" t="s">
        <v>46</v>
      </c>
      <c r="U330" s="26" t="s">
        <v>46</v>
      </c>
    </row>
    <row r="331" spans="1:21" x14ac:dyDescent="0.2">
      <c r="A331" s="31">
        <v>0.47964917089214748</v>
      </c>
      <c r="B331" s="46" t="s">
        <v>1777</v>
      </c>
      <c r="C331" s="32">
        <v>0</v>
      </c>
      <c r="D331" s="32">
        <v>6.7142450213524607E-2</v>
      </c>
      <c r="E331" s="31">
        <v>0.50000000052480864</v>
      </c>
      <c r="F331" s="31">
        <v>0</v>
      </c>
      <c r="G331" s="31">
        <v>0</v>
      </c>
      <c r="H331" s="31">
        <v>0</v>
      </c>
      <c r="I331" s="31">
        <v>0</v>
      </c>
      <c r="J331" s="47" t="s">
        <v>1778</v>
      </c>
      <c r="K331" s="32">
        <v>0.34769562036991125</v>
      </c>
      <c r="L331" s="32">
        <v>0.3476958608968802</v>
      </c>
      <c r="M331" s="31">
        <v>-3.4533710789723004E-2</v>
      </c>
      <c r="N331" s="31">
        <v>1.123328275667089E-3</v>
      </c>
      <c r="O331" s="31">
        <v>14.953823698598274</v>
      </c>
      <c r="P331" s="31">
        <v>-1.4320402147573961</v>
      </c>
      <c r="Q331" s="31">
        <v>-11.055102995146596</v>
      </c>
      <c r="R331" s="31">
        <v>0</v>
      </c>
      <c r="S331" s="31">
        <v>1.1099964031990384</v>
      </c>
      <c r="T331" s="26" t="s">
        <v>46</v>
      </c>
      <c r="U331" s="26" t="s">
        <v>46</v>
      </c>
    </row>
    <row r="332" spans="1:21" x14ac:dyDescent="0.2">
      <c r="A332" s="31">
        <v>0.51390982595587231</v>
      </c>
      <c r="B332" s="46" t="s">
        <v>1779</v>
      </c>
      <c r="C332" s="32">
        <v>0</v>
      </c>
      <c r="D332" s="32">
        <v>1.9522628251481589E-2</v>
      </c>
      <c r="E332" s="31">
        <v>0.50000000052480864</v>
      </c>
      <c r="F332" s="31">
        <v>0</v>
      </c>
      <c r="G332" s="31">
        <v>0</v>
      </c>
      <c r="H332" s="31">
        <v>0</v>
      </c>
      <c r="I332" s="31">
        <v>0</v>
      </c>
      <c r="J332" s="47" t="s">
        <v>1780</v>
      </c>
      <c r="K332" s="32">
        <v>0.33631394551992422</v>
      </c>
      <c r="L332" s="32">
        <v>0.33631383368632833</v>
      </c>
      <c r="M332" s="31">
        <v>-4.3542596344758766E-2</v>
      </c>
      <c r="N332" s="31">
        <v>1.4026703091319448E-3</v>
      </c>
      <c r="O332" s="31">
        <v>18.061209295779342</v>
      </c>
      <c r="P332" s="31">
        <v>-1.6716871292931201</v>
      </c>
      <c r="Q332" s="31">
        <v>-13.939849689314167</v>
      </c>
      <c r="R332" s="31">
        <v>0</v>
      </c>
      <c r="S332" s="31">
        <v>1.4000020198492664</v>
      </c>
      <c r="T332" s="26" t="s">
        <v>46</v>
      </c>
      <c r="U332" s="26" t="s">
        <v>46</v>
      </c>
    </row>
    <row r="333" spans="1:21" x14ac:dyDescent="0.2">
      <c r="A333" s="31">
        <v>0.54817048101959709</v>
      </c>
      <c r="B333" s="46" t="s">
        <v>1781</v>
      </c>
      <c r="C333" s="32">
        <v>0</v>
      </c>
      <c r="D333" s="32">
        <v>0</v>
      </c>
      <c r="E333" s="31">
        <v>0.50000000052480864</v>
      </c>
      <c r="F333" s="31">
        <v>0</v>
      </c>
      <c r="G333" s="31">
        <v>0</v>
      </c>
      <c r="H333" s="31">
        <v>0</v>
      </c>
      <c r="I333" s="31">
        <v>0</v>
      </c>
      <c r="J333" s="47" t="s">
        <v>1782</v>
      </c>
      <c r="K333" s="32">
        <v>0.32568542240858078</v>
      </c>
      <c r="L333" s="32">
        <v>0.32568523569639618</v>
      </c>
      <c r="M333" s="31">
        <v>-5.4298386896662221E-2</v>
      </c>
      <c r="N333" s="31">
        <v>1.7279765496659332E-3</v>
      </c>
      <c r="O333" s="31">
        <v>21.546786556672004</v>
      </c>
      <c r="P333" s="31">
        <v>-1.9296293376858287</v>
      </c>
      <c r="Q333" s="31">
        <v>-17.390734069588042</v>
      </c>
      <c r="R333" s="31">
        <v>0</v>
      </c>
      <c r="S333" s="31">
        <v>1.7500040230454132</v>
      </c>
      <c r="T333" s="26" t="s">
        <v>46</v>
      </c>
      <c r="U333" s="26" t="s">
        <v>46</v>
      </c>
    </row>
    <row r="334" spans="1:21" x14ac:dyDescent="0.2">
      <c r="A334" s="31">
        <v>0.58243113608332198</v>
      </c>
      <c r="B334" s="46" t="s">
        <v>1783</v>
      </c>
      <c r="C334" s="32">
        <v>0</v>
      </c>
      <c r="D334" s="32">
        <v>0</v>
      </c>
      <c r="E334" s="31">
        <v>0.50000000052480864</v>
      </c>
      <c r="F334" s="31">
        <v>0</v>
      </c>
      <c r="G334" s="31">
        <v>0</v>
      </c>
      <c r="H334" s="31">
        <v>0</v>
      </c>
      <c r="I334" s="31">
        <v>0</v>
      </c>
      <c r="J334" s="47" t="s">
        <v>1784</v>
      </c>
      <c r="K334" s="32">
        <v>0.31574210287332538</v>
      </c>
      <c r="L334" s="32">
        <v>0.31574194946652906</v>
      </c>
      <c r="M334" s="31">
        <v>-6.7026076324199657E-2</v>
      </c>
      <c r="N334" s="31">
        <v>2.1017054040288691E-3</v>
      </c>
      <c r="O334" s="31">
        <v>25.406841781243312</v>
      </c>
      <c r="P334" s="31">
        <v>-2.2037983399082361</v>
      </c>
      <c r="Q334" s="31">
        <v>-21.484762069361558</v>
      </c>
      <c r="R334" s="31">
        <v>0</v>
      </c>
      <c r="S334" s="31">
        <v>2.1700038975806719</v>
      </c>
      <c r="T334" s="26" t="s">
        <v>46</v>
      </c>
      <c r="U334" s="26" t="s">
        <v>46</v>
      </c>
    </row>
    <row r="335" spans="1:21" x14ac:dyDescent="0.2">
      <c r="A335" s="31">
        <v>0.61669179114704675</v>
      </c>
      <c r="B335" s="46" t="s">
        <v>1785</v>
      </c>
      <c r="C335" s="32">
        <v>0.32485359385013585</v>
      </c>
      <c r="D335" s="32">
        <v>0.32485386353897872</v>
      </c>
      <c r="E335" s="31">
        <v>0.90940486282723287</v>
      </c>
      <c r="F335" s="31">
        <v>2.5672948363013198E-3</v>
      </c>
      <c r="G335" s="31">
        <v>31.930797684928095</v>
      </c>
      <c r="H335" s="31">
        <v>-3.053446934656022</v>
      </c>
      <c r="I335" s="31">
        <v>131.52920843757136</v>
      </c>
      <c r="J335" s="47" t="s">
        <v>1786</v>
      </c>
      <c r="K335" s="32">
        <v>0.30672573932409297</v>
      </c>
      <c r="L335" s="32">
        <v>0.30672562587706104</v>
      </c>
      <c r="M335" s="31">
        <v>-8.2097531746529895E-2</v>
      </c>
      <c r="N335" s="31">
        <v>2.5259333784841036E-3</v>
      </c>
      <c r="O335" s="31">
        <v>29.663231345151541</v>
      </c>
      <c r="P335" s="31">
        <v>-2.4969810799906287</v>
      </c>
      <c r="Q335" s="31">
        <v>-26.355448524379405</v>
      </c>
      <c r="R335" s="31">
        <v>59.549991388615823</v>
      </c>
      <c r="S335" s="31">
        <v>2.6800033652047217</v>
      </c>
      <c r="T335" s="26" t="s">
        <v>46</v>
      </c>
      <c r="U335" s="26" t="s">
        <v>46</v>
      </c>
    </row>
    <row r="336" spans="1:21" x14ac:dyDescent="0.2">
      <c r="A336" s="31">
        <v>0.65095244621077153</v>
      </c>
      <c r="B336" s="46" t="s">
        <v>1787</v>
      </c>
      <c r="C336" s="32">
        <v>0</v>
      </c>
      <c r="D336" s="32">
        <v>4.7718139174265498E-2</v>
      </c>
      <c r="E336" s="31">
        <v>0.50000000052480864</v>
      </c>
      <c r="F336" s="31">
        <v>0</v>
      </c>
      <c r="G336" s="31">
        <v>0</v>
      </c>
      <c r="H336" s="31">
        <v>0</v>
      </c>
      <c r="I336" s="31">
        <v>0</v>
      </c>
      <c r="J336" s="47" t="s">
        <v>1788</v>
      </c>
      <c r="K336" s="32">
        <v>0.2986942665100098</v>
      </c>
      <c r="L336" s="32">
        <v>0.29869413570873216</v>
      </c>
      <c r="M336" s="31">
        <v>-9.9818886976898891E-2</v>
      </c>
      <c r="N336" s="31">
        <v>2.9988016226799971E-3</v>
      </c>
      <c r="O336" s="31">
        <v>34.294223080076591</v>
      </c>
      <c r="P336" s="31">
        <v>-2.80808665264626</v>
      </c>
      <c r="Q336" s="31">
        <v>-32.119065241449491</v>
      </c>
      <c r="R336" s="31">
        <v>0</v>
      </c>
      <c r="S336" s="31">
        <v>3.3000044857270763</v>
      </c>
      <c r="T336" s="26" t="s">
        <v>46</v>
      </c>
      <c r="U336" s="26" t="s">
        <v>46</v>
      </c>
    </row>
    <row r="337" spans="1:21" x14ac:dyDescent="0.2">
      <c r="A337" s="31">
        <v>0.68521310127449642</v>
      </c>
      <c r="B337" s="46" t="s">
        <v>1789</v>
      </c>
      <c r="C337" s="32">
        <v>0</v>
      </c>
      <c r="D337" s="32">
        <v>0</v>
      </c>
      <c r="E337" s="31">
        <v>0.50000000052480864</v>
      </c>
      <c r="F337" s="31">
        <v>0</v>
      </c>
      <c r="G337" s="31">
        <v>0</v>
      </c>
      <c r="H337" s="31">
        <v>0</v>
      </c>
      <c r="I337" s="31">
        <v>0</v>
      </c>
      <c r="J337" s="47" t="s">
        <v>1790</v>
      </c>
      <c r="K337" s="32">
        <v>0.29034307971000661</v>
      </c>
      <c r="L337" s="32">
        <v>0.29034311302538818</v>
      </c>
      <c r="M337" s="31">
        <v>-0.11972701289955923</v>
      </c>
      <c r="N337" s="31">
        <v>3.5154891331457827E-3</v>
      </c>
      <c r="O337" s="31">
        <v>39.079012783842202</v>
      </c>
      <c r="P337" s="31">
        <v>-3.1065425524632788</v>
      </c>
      <c r="Q337" s="31">
        <v>-38.600172737672501</v>
      </c>
      <c r="R337" s="31">
        <v>0</v>
      </c>
      <c r="S337" s="31">
        <v>3.999998698067726</v>
      </c>
      <c r="T337" s="26" t="s">
        <v>46</v>
      </c>
      <c r="U337" s="26" t="s">
        <v>46</v>
      </c>
    </row>
    <row r="338" spans="1:21" x14ac:dyDescent="0.2">
      <c r="A338" s="31">
        <v>0.71947375633822119</v>
      </c>
      <c r="B338" s="46" t="s">
        <v>1791</v>
      </c>
      <c r="C338" s="32">
        <v>0.24675826727151873</v>
      </c>
      <c r="D338" s="32">
        <v>0.24675824548903108</v>
      </c>
      <c r="E338" s="31">
        <v>0.87961437940042042</v>
      </c>
      <c r="F338" s="31">
        <v>4.1524522022477334E-3</v>
      </c>
      <c r="G338" s="31">
        <v>39.230396644849286</v>
      </c>
      <c r="H338" s="31">
        <v>-2.8850116117688223</v>
      </c>
      <c r="I338" s="31">
        <v>150.40846769089487</v>
      </c>
      <c r="J338" s="47" t="s">
        <v>1792</v>
      </c>
      <c r="K338" s="32">
        <v>0.28431858104467389</v>
      </c>
      <c r="L338" s="32">
        <v>0.28431868811805056</v>
      </c>
      <c r="M338" s="31">
        <v>-0.14340964635876141</v>
      </c>
      <c r="N338" s="31">
        <v>4.0665851031282153E-3</v>
      </c>
      <c r="O338" s="31">
        <v>44.267138917753947</v>
      </c>
      <c r="P338" s="31">
        <v>-3.4413262815653134</v>
      </c>
      <c r="Q338" s="31">
        <v>-46.431038777301794</v>
      </c>
      <c r="R338" s="31">
        <v>44.700000854535602</v>
      </c>
      <c r="S338" s="31">
        <v>4.8999952601673229</v>
      </c>
      <c r="T338" s="26" t="s">
        <v>46</v>
      </c>
      <c r="U338" s="26" t="s">
        <v>46</v>
      </c>
    </row>
    <row r="339" spans="1:21" x14ac:dyDescent="0.2">
      <c r="A339" s="31">
        <v>0.75373441140194597</v>
      </c>
      <c r="B339" s="46" t="s">
        <v>1793</v>
      </c>
      <c r="C339" s="32">
        <v>0</v>
      </c>
      <c r="D339" s="32">
        <v>0</v>
      </c>
      <c r="E339" s="31">
        <v>0.50000000052480864</v>
      </c>
      <c r="F339" s="31">
        <v>0</v>
      </c>
      <c r="G339" s="31">
        <v>0</v>
      </c>
      <c r="H339" s="31">
        <v>0</v>
      </c>
      <c r="I339" s="48">
        <v>0</v>
      </c>
      <c r="J339" s="47" t="s">
        <v>1794</v>
      </c>
      <c r="K339" s="32">
        <v>0.2776964961707592</v>
      </c>
      <c r="L339" s="32">
        <v>0.27769651576580046</v>
      </c>
      <c r="M339" s="31">
        <v>-0.16938588430999468</v>
      </c>
      <c r="N339" s="31">
        <v>4.6463376262153647E-3</v>
      </c>
      <c r="O339" s="31">
        <v>49.400063795776333</v>
      </c>
      <c r="P339" s="31">
        <v>-3.7452387334754187</v>
      </c>
      <c r="Q339" s="31">
        <v>-55.043403553687128</v>
      </c>
      <c r="R339" s="31">
        <v>0</v>
      </c>
      <c r="S339" s="31">
        <v>5.8999990320037066</v>
      </c>
      <c r="T339" s="26" t="s">
        <v>46</v>
      </c>
      <c r="U339" s="26" t="s">
        <v>46</v>
      </c>
    </row>
    <row r="340" spans="1:21" x14ac:dyDescent="0.2">
      <c r="A340" s="31">
        <v>0.78799506646567086</v>
      </c>
      <c r="B340" s="46" t="s">
        <v>1795</v>
      </c>
      <c r="C340" s="32">
        <v>0.11938478747606276</v>
      </c>
      <c r="D340" s="32">
        <v>0.11938466094098789</v>
      </c>
      <c r="E340" s="31">
        <v>0.94457674861471386</v>
      </c>
      <c r="F340" s="31">
        <v>4.7909929550916299E-3</v>
      </c>
      <c r="G340" s="31">
        <v>21.8988277699615</v>
      </c>
      <c r="H340" s="31">
        <v>-0.97063896433982255</v>
      </c>
      <c r="I340" s="48">
        <v>190.28071348374482</v>
      </c>
      <c r="J340" s="47" t="s">
        <v>1796</v>
      </c>
      <c r="K340" s="32">
        <v>0.27414459537863733</v>
      </c>
      <c r="L340" s="32">
        <v>0.27414450072921887</v>
      </c>
      <c r="M340" s="31">
        <v>-0.19954193191842318</v>
      </c>
      <c r="N340" s="31">
        <v>5.2119127392207002E-3</v>
      </c>
      <c r="O340" s="31">
        <v>54.704514667355681</v>
      </c>
      <c r="P340" s="31">
        <v>-4.0877975869115666</v>
      </c>
      <c r="Q340" s="31">
        <v>-65.291614952202522</v>
      </c>
      <c r="R340" s="31">
        <v>32.000002770966432</v>
      </c>
      <c r="S340" s="31">
        <v>7.2000051777501515</v>
      </c>
      <c r="T340" s="26" t="s">
        <v>46</v>
      </c>
      <c r="U340" s="26" t="s">
        <v>46</v>
      </c>
    </row>
    <row r="341" spans="1:21" x14ac:dyDescent="0.2">
      <c r="A341" s="31">
        <v>0.82225572152939563</v>
      </c>
      <c r="B341" s="46" t="s">
        <v>1797</v>
      </c>
      <c r="C341" s="32">
        <v>0.1399180069565773</v>
      </c>
      <c r="D341" s="32">
        <v>0.13991809671788669</v>
      </c>
      <c r="E341" s="31">
        <v>0.87678402059590743</v>
      </c>
      <c r="F341" s="31">
        <v>7.443778933129446E-3</v>
      </c>
      <c r="G341" s="31">
        <v>39.876168475779387</v>
      </c>
      <c r="H341" s="31">
        <v>-1.7812125350121337</v>
      </c>
      <c r="I341" s="48">
        <v>179.23677030336853</v>
      </c>
      <c r="J341" s="47" t="s">
        <v>1798</v>
      </c>
      <c r="K341" s="32">
        <v>0.26770775865316387</v>
      </c>
      <c r="L341" s="32">
        <v>0.26770774838321487</v>
      </c>
      <c r="M341" s="31">
        <v>-0.23079640651741418</v>
      </c>
      <c r="N341" s="31">
        <v>5.8079889677169023E-3</v>
      </c>
      <c r="O341" s="31">
        <v>59.529616645169746</v>
      </c>
      <c r="P341" s="31">
        <v>-4.3356604440430084</v>
      </c>
      <c r="Q341" s="31">
        <v>-75.827967200027743</v>
      </c>
      <c r="R341" s="31">
        <v>28.249996420661603</v>
      </c>
      <c r="S341" s="31">
        <v>8.5000006113661364</v>
      </c>
      <c r="T341" s="26" t="s">
        <v>46</v>
      </c>
      <c r="U341" s="26" t="s">
        <v>46</v>
      </c>
    </row>
    <row r="342" spans="1:21" x14ac:dyDescent="0.2">
      <c r="A342" s="31">
        <v>0.85651637659312052</v>
      </c>
      <c r="B342" s="46" t="s">
        <v>1799</v>
      </c>
      <c r="C342" s="32">
        <v>0.14502627829313278</v>
      </c>
      <c r="D342" s="32">
        <v>0.14502633368002538</v>
      </c>
      <c r="E342" s="31">
        <v>0.81990964144435374</v>
      </c>
      <c r="F342" s="31">
        <v>9.2497687266487848E-3</v>
      </c>
      <c r="G342" s="31">
        <v>51.359870654942362</v>
      </c>
      <c r="H342" s="31">
        <v>-2.2906393336553106</v>
      </c>
      <c r="I342" s="48">
        <v>171.05715219682702</v>
      </c>
      <c r="J342" s="47" t="s">
        <v>1800</v>
      </c>
      <c r="K342" s="32">
        <v>0.26436220570206637</v>
      </c>
      <c r="L342" s="32">
        <v>0.26436211131548454</v>
      </c>
      <c r="M342" s="31">
        <v>-0.2657040729581881</v>
      </c>
      <c r="N342" s="31">
        <v>6.3406154051323634E-3</v>
      </c>
      <c r="O342" s="31">
        <v>64.176661822939408</v>
      </c>
      <c r="P342" s="31">
        <v>-4.6064557556412336</v>
      </c>
      <c r="Q342" s="31">
        <v>-87.951882042979705</v>
      </c>
      <c r="R342" s="31">
        <v>24.49999715533599</v>
      </c>
      <c r="S342" s="31">
        <v>10.150006057415565</v>
      </c>
      <c r="T342" s="26" t="s">
        <v>46</v>
      </c>
      <c r="U342" s="26" t="s">
        <v>46</v>
      </c>
    </row>
    <row r="343" spans="1:21" x14ac:dyDescent="0.2">
      <c r="A343" s="31">
        <v>0.8907770316568453</v>
      </c>
      <c r="B343" s="46" t="s">
        <v>1801</v>
      </c>
      <c r="C343" s="32">
        <v>0.15391032173633579</v>
      </c>
      <c r="D343" s="32">
        <v>0.15391038360412621</v>
      </c>
      <c r="E343" s="31">
        <v>0.7529201679086851</v>
      </c>
      <c r="F343" s="31">
        <v>1.0486060094669099E-2</v>
      </c>
      <c r="G343" s="31">
        <v>61.791172111480201</v>
      </c>
      <c r="H343" s="31">
        <v>-2.8487554506254038</v>
      </c>
      <c r="I343" s="48">
        <v>159.05542173095711</v>
      </c>
      <c r="J343" s="47" t="s">
        <v>1802</v>
      </c>
      <c r="K343" s="32">
        <v>0.26122013961672785</v>
      </c>
      <c r="L343" s="32">
        <v>0.26122025494171403</v>
      </c>
      <c r="M343" s="31">
        <v>-0.30252128100308007</v>
      </c>
      <c r="N343" s="31">
        <v>6.8281433824946055E-3</v>
      </c>
      <c r="O343" s="31">
        <v>68.289767557858013</v>
      </c>
      <c r="P343" s="31">
        <v>-4.8326023337971273</v>
      </c>
      <c r="Q343" s="31">
        <v>-100.93621875078254</v>
      </c>
      <c r="R343" s="31">
        <v>21.399996177116435</v>
      </c>
      <c r="S343" s="31">
        <v>11.999992124483391</v>
      </c>
      <c r="T343" s="26" t="s">
        <v>46</v>
      </c>
      <c r="U343" s="26" t="s">
        <v>46</v>
      </c>
    </row>
    <row r="344" spans="1:21" x14ac:dyDescent="0.2">
      <c r="A344" s="31">
        <v>0.92503768672057007</v>
      </c>
      <c r="B344" s="46" t="s">
        <v>1803</v>
      </c>
      <c r="C344" s="32">
        <v>0.1580501529455185</v>
      </c>
      <c r="D344" s="32">
        <v>0.15805023936319737</v>
      </c>
      <c r="E344" s="31">
        <v>0.6890565165151713</v>
      </c>
      <c r="F344" s="31">
        <v>1.1422902792302486E-2</v>
      </c>
      <c r="G344" s="31">
        <v>69.122230914728931</v>
      </c>
      <c r="H344" s="31">
        <v>-3.2275353806418492</v>
      </c>
      <c r="I344" s="48">
        <v>147.60412743565422</v>
      </c>
      <c r="J344" s="47" t="s">
        <v>1804</v>
      </c>
      <c r="K344" s="32">
        <v>0.26099233446121212</v>
      </c>
      <c r="L344" s="32">
        <v>0.26099229429177501</v>
      </c>
      <c r="M344" s="31">
        <v>-0.34110245200048916</v>
      </c>
      <c r="N344" s="31">
        <v>7.1837868149263054E-3</v>
      </c>
      <c r="O344" s="31">
        <v>71.78397984841601</v>
      </c>
      <c r="P344" s="31">
        <v>-5.0638085469185574</v>
      </c>
      <c r="Q344" s="31">
        <v>-115.10240927844274</v>
      </c>
      <c r="R344" s="31">
        <v>18.44999402661702</v>
      </c>
      <c r="S344" s="31">
        <v>14.250002883522058</v>
      </c>
      <c r="T344" s="26" t="s">
        <v>46</v>
      </c>
      <c r="U344" s="26" t="s">
        <v>46</v>
      </c>
    </row>
    <row r="345" spans="1:21" x14ac:dyDescent="0.2">
      <c r="A345" s="31">
        <v>0.95929834178429496</v>
      </c>
      <c r="B345" s="46" t="s">
        <v>1805</v>
      </c>
      <c r="C345" s="32">
        <v>0.15972310823202135</v>
      </c>
      <c r="D345" s="32">
        <v>0.15972306760599522</v>
      </c>
      <c r="E345" s="31">
        <v>0.62567482154372589</v>
      </c>
      <c r="F345" s="31">
        <v>1.2126204926264705E-2</v>
      </c>
      <c r="G345" s="31">
        <v>74.154754491608571</v>
      </c>
      <c r="H345" s="31">
        <v>-3.4683262933730714</v>
      </c>
      <c r="I345" s="48">
        <v>135.91976936274762</v>
      </c>
      <c r="J345" s="47" t="s">
        <v>1806</v>
      </c>
      <c r="K345" s="32">
        <v>0.2586395399272442</v>
      </c>
      <c r="L345" s="32">
        <v>0.25863960093418248</v>
      </c>
      <c r="M345" s="31">
        <v>-0.38013084688814536</v>
      </c>
      <c r="N345" s="31">
        <v>7.5244308957828883E-3</v>
      </c>
      <c r="O345" s="31">
        <v>74.510061547121779</v>
      </c>
      <c r="P345" s="31">
        <v>-5.1945542175112154</v>
      </c>
      <c r="Q345" s="31">
        <v>-129.47583215699768</v>
      </c>
      <c r="R345" s="31">
        <v>15.700003012612967</v>
      </c>
      <c r="S345" s="31">
        <v>16.549995454369288</v>
      </c>
      <c r="T345" s="26" t="s">
        <v>46</v>
      </c>
      <c r="U345" s="26" t="s">
        <v>46</v>
      </c>
    </row>
    <row r="346" spans="1:21" x14ac:dyDescent="0.2">
      <c r="A346" s="31">
        <v>0.99355899684801974</v>
      </c>
      <c r="B346" s="46" t="s">
        <v>1807</v>
      </c>
      <c r="C346" s="32">
        <v>0.16085176297426226</v>
      </c>
      <c r="D346" s="32">
        <v>0.16085166373678464</v>
      </c>
      <c r="E346" s="31">
        <v>0.5623638944367132</v>
      </c>
      <c r="F346" s="31">
        <v>1.2520191602726244E-2</v>
      </c>
      <c r="G346" s="31">
        <v>77.105107225898422</v>
      </c>
      <c r="H346" s="31">
        <v>-3.607989025563505</v>
      </c>
      <c r="I346" s="48">
        <v>123.71460006556485</v>
      </c>
      <c r="J346" s="47" t="s">
        <v>1808</v>
      </c>
      <c r="K346" s="32">
        <v>0.25702898966372006</v>
      </c>
      <c r="L346" s="32">
        <v>0.25702898646604172</v>
      </c>
      <c r="M346" s="31">
        <v>-0.41954610658455571</v>
      </c>
      <c r="N346" s="31">
        <v>7.7705458566778808E-3</v>
      </c>
      <c r="O346" s="31">
        <v>76.468044086407602</v>
      </c>
      <c r="P346" s="31">
        <v>-5.2820600268061124</v>
      </c>
      <c r="Q346" s="31">
        <v>-144.40014856140459</v>
      </c>
      <c r="R346" s="31">
        <v>13.250007651716373</v>
      </c>
      <c r="S346" s="31">
        <v>19.100000244520206</v>
      </c>
      <c r="T346" s="26" t="s">
        <v>46</v>
      </c>
      <c r="U346" s="26" t="s">
        <v>46</v>
      </c>
    </row>
    <row r="347" spans="1:21" x14ac:dyDescent="0.2">
      <c r="A347" s="31">
        <v>1.0278196519117446</v>
      </c>
      <c r="B347" s="46" t="s">
        <v>1809</v>
      </c>
      <c r="C347" s="32">
        <v>0.16171255890727043</v>
      </c>
      <c r="D347" s="32">
        <v>0.16171263856223819</v>
      </c>
      <c r="E347" s="31">
        <v>0.50036714232669455</v>
      </c>
      <c r="F347" s="31">
        <v>1.2607905936418841E-2</v>
      </c>
      <c r="G347" s="31">
        <v>78.060810181636413</v>
      </c>
      <c r="H347" s="31">
        <v>-3.6535723485595866</v>
      </c>
      <c r="I347" s="48">
        <v>111.31502747887143</v>
      </c>
      <c r="J347" s="47" t="s">
        <v>1810</v>
      </c>
      <c r="K347" s="32">
        <v>0.25745795714259145</v>
      </c>
      <c r="L347" s="32">
        <v>0.25745787506088058</v>
      </c>
      <c r="M347" s="31">
        <v>-0.45815642191541806</v>
      </c>
      <c r="N347" s="31">
        <v>7.8755866219635227E-3</v>
      </c>
      <c r="O347" s="31">
        <v>77.631070790621735</v>
      </c>
      <c r="P347" s="31">
        <v>-5.3548391139555127</v>
      </c>
      <c r="Q347" s="31">
        <v>-159.74246090902258</v>
      </c>
      <c r="R347" s="31">
        <v>11.099993782068672</v>
      </c>
      <c r="S347" s="31">
        <v>22.000006372091139</v>
      </c>
      <c r="T347" s="26" t="s">
        <v>46</v>
      </c>
      <c r="U347" s="26" t="s">
        <v>46</v>
      </c>
    </row>
    <row r="348" spans="1:21" x14ac:dyDescent="0.2">
      <c r="A348" s="31">
        <v>1.0620803069754694</v>
      </c>
      <c r="B348" s="46" t="s">
        <v>1811</v>
      </c>
      <c r="C348" s="32">
        <v>0.1613037970662117</v>
      </c>
      <c r="D348" s="32">
        <v>0.16130372613034585</v>
      </c>
      <c r="E348" s="31">
        <v>0.43989225606288496</v>
      </c>
      <c r="F348" s="31">
        <v>1.2496121035811764E-2</v>
      </c>
      <c r="G348" s="31">
        <v>77.173137833020576</v>
      </c>
      <c r="H348" s="31">
        <v>-3.589056796240194</v>
      </c>
      <c r="I348" s="48">
        <v>98.955120833826541</v>
      </c>
      <c r="J348" s="47" t="s">
        <v>1812</v>
      </c>
      <c r="K348" s="32">
        <v>0.25869389845728874</v>
      </c>
      <c r="L348" s="32">
        <v>0.25869398297656204</v>
      </c>
      <c r="M348" s="31">
        <v>-0.4953353157956768</v>
      </c>
      <c r="N348" s="31">
        <v>7.8808129342715898E-3</v>
      </c>
      <c r="O348" s="31">
        <v>78.055507092583397</v>
      </c>
      <c r="P348" s="31">
        <v>-5.39234212953897</v>
      </c>
      <c r="Q348" s="31">
        <v>-175.15860416633191</v>
      </c>
      <c r="R348" s="31">
        <v>9.1500054743432813</v>
      </c>
      <c r="S348" s="31">
        <v>25.149993402805265</v>
      </c>
      <c r="T348" s="26" t="s">
        <v>46</v>
      </c>
      <c r="U348" s="26" t="s">
        <v>46</v>
      </c>
    </row>
    <row r="349" spans="1:21" x14ac:dyDescent="0.2">
      <c r="A349" s="31">
        <v>1.0963409620391942</v>
      </c>
      <c r="B349" s="46" t="s">
        <v>1813</v>
      </c>
      <c r="C349" s="32">
        <v>0.16185811102390291</v>
      </c>
      <c r="D349" s="32">
        <v>0.16185808338748345</v>
      </c>
      <c r="E349" s="31">
        <v>0.38350747270245389</v>
      </c>
      <c r="F349" s="31">
        <v>1.2055649108177559E-2</v>
      </c>
      <c r="G349" s="31">
        <v>74.70873995189352</v>
      </c>
      <c r="H349" s="31">
        <v>-3.4747615500036253</v>
      </c>
      <c r="I349" s="48">
        <v>87.039037141768389</v>
      </c>
      <c r="J349" s="47" t="s">
        <v>1814</v>
      </c>
      <c r="K349" s="32">
        <v>0.2602531299769878</v>
      </c>
      <c r="L349" s="32">
        <v>0.260253102386869</v>
      </c>
      <c r="M349" s="31">
        <v>-0.53079979485231288</v>
      </c>
      <c r="N349" s="31">
        <v>7.8107740533419207E-3</v>
      </c>
      <c r="O349" s="31">
        <v>77.828091587134594</v>
      </c>
      <c r="P349" s="31">
        <v>-5.3901230028457254</v>
      </c>
      <c r="Q349" s="31">
        <v>-190.48453866029087</v>
      </c>
      <c r="R349" s="31">
        <v>7.5500020646820474</v>
      </c>
      <c r="S349" s="31">
        <v>28.500002147286274</v>
      </c>
      <c r="T349" s="26" t="s">
        <v>46</v>
      </c>
      <c r="U349" s="26" t="s">
        <v>46</v>
      </c>
    </row>
    <row r="350" spans="1:21" x14ac:dyDescent="0.2">
      <c r="A350" s="31">
        <v>1.130601617102919</v>
      </c>
      <c r="B350" s="46" t="s">
        <v>1815</v>
      </c>
      <c r="C350" s="32">
        <v>0.16174760585427284</v>
      </c>
      <c r="D350" s="32">
        <v>0.16174767431876053</v>
      </c>
      <c r="E350" s="31">
        <v>0.33050233135439711</v>
      </c>
      <c r="F350" s="31">
        <v>1.1449602543329909E-2</v>
      </c>
      <c r="G350" s="31">
        <v>70.904633602627143</v>
      </c>
      <c r="H350" s="31">
        <v>-3.2867489944721533</v>
      </c>
      <c r="I350" s="48">
        <v>75.650101133135919</v>
      </c>
      <c r="J350" s="47" t="s">
        <v>1816</v>
      </c>
      <c r="K350" s="32">
        <v>0.2629694471806287</v>
      </c>
      <c r="L350" s="32">
        <v>0.26296948755162153</v>
      </c>
      <c r="M350" s="31">
        <v>-0.56361278252297842</v>
      </c>
      <c r="N350" s="31">
        <v>7.6544364480326185E-3</v>
      </c>
      <c r="O350" s="31">
        <v>77.06636234321185</v>
      </c>
      <c r="P350" s="31">
        <v>-5.373914727670547</v>
      </c>
      <c r="Q350" s="31">
        <v>-205.56429394222505</v>
      </c>
      <c r="R350" s="31">
        <v>6.1499951455502995</v>
      </c>
      <c r="S350" s="31">
        <v>32.099996888754418</v>
      </c>
      <c r="T350" s="26" t="s">
        <v>46</v>
      </c>
      <c r="U350" s="26" t="s">
        <v>46</v>
      </c>
    </row>
    <row r="351" spans="1:21" x14ac:dyDescent="0.2">
      <c r="A351" s="31">
        <v>1.164862272166644</v>
      </c>
      <c r="B351" s="46" t="s">
        <v>1817</v>
      </c>
      <c r="C351" s="32">
        <v>0.16126088243722914</v>
      </c>
      <c r="D351" s="32">
        <v>0.16126098593628083</v>
      </c>
      <c r="E351" s="31">
        <v>0.28143727773938454</v>
      </c>
      <c r="F351" s="31">
        <v>1.069467365906058E-2</v>
      </c>
      <c r="G351" s="31">
        <v>66.030245798076493</v>
      </c>
      <c r="H351" s="31">
        <v>-3.0448047887518799</v>
      </c>
      <c r="I351" s="48">
        <v>64.935318291126791</v>
      </c>
      <c r="J351" s="47" t="s">
        <v>1818</v>
      </c>
      <c r="K351" s="32">
        <v>0.26642121383845807</v>
      </c>
      <c r="L351" s="32">
        <v>0.26642121465735302</v>
      </c>
      <c r="M351" s="31">
        <v>-0.59368566901948194</v>
      </c>
      <c r="N351" s="31">
        <v>7.4407618220595226E-3</v>
      </c>
      <c r="O351" s="31">
        <v>75.898387775380428</v>
      </c>
      <c r="P351" s="31">
        <v>-5.3425198300260179</v>
      </c>
      <c r="Q351" s="31">
        <v>-220.2847352226847</v>
      </c>
      <c r="R351" s="31">
        <v>4.9499931659311756</v>
      </c>
      <c r="S351" s="31">
        <v>35.899999937847198</v>
      </c>
      <c r="T351" s="26" t="s">
        <v>46</v>
      </c>
      <c r="U351" s="26" t="s">
        <v>46</v>
      </c>
    </row>
    <row r="352" spans="1:21" x14ac:dyDescent="0.2">
      <c r="A352" s="31">
        <v>1.1991229272303687</v>
      </c>
      <c r="B352" s="46" t="s">
        <v>1819</v>
      </c>
      <c r="C352" s="32">
        <v>0.16073839682936669</v>
      </c>
      <c r="D352" s="32">
        <v>0.16073846220175123</v>
      </c>
      <c r="E352" s="31">
        <v>0.23709882593220444</v>
      </c>
      <c r="F352" s="31">
        <v>9.8185952101881753E-3</v>
      </c>
      <c r="G352" s="31">
        <v>60.424815542109464</v>
      </c>
      <c r="H352" s="31">
        <v>-2.7720146286693192</v>
      </c>
      <c r="I352" s="48">
        <v>55.101003173987849</v>
      </c>
      <c r="J352" s="47" t="s">
        <v>1820</v>
      </c>
      <c r="K352" s="32">
        <v>0.22768879426121713</v>
      </c>
      <c r="L352" s="32">
        <v>0.22768869684277909</v>
      </c>
      <c r="M352" s="31">
        <v>-0.66591542476928334</v>
      </c>
      <c r="N352" s="31">
        <v>8.1685346560312257E-3</v>
      </c>
      <c r="O352" s="31">
        <v>71.208552595614634</v>
      </c>
      <c r="P352" s="31">
        <v>-4.2016369320608806</v>
      </c>
      <c r="Q352" s="31">
        <v>-240.76180892986153</v>
      </c>
      <c r="R352" s="31">
        <v>3.9499960498851792</v>
      </c>
      <c r="S352" s="31">
        <v>36.750006937025496</v>
      </c>
      <c r="T352" s="26" t="s">
        <v>46</v>
      </c>
      <c r="U352" s="26" t="s">
        <v>46</v>
      </c>
    </row>
    <row r="353" spans="1:21" x14ac:dyDescent="0.2">
      <c r="A353" s="31">
        <v>1.2333835822940935</v>
      </c>
      <c r="B353" s="46" t="s">
        <v>1821</v>
      </c>
      <c r="C353" s="32">
        <v>0.16064076604843142</v>
      </c>
      <c r="D353" s="32">
        <v>0.16064079159989361</v>
      </c>
      <c r="E353" s="31">
        <v>0.19848971224508594</v>
      </c>
      <c r="F353" s="31">
        <v>8.8661985217132963E-3</v>
      </c>
      <c r="G353" s="31">
        <v>54.530510424278155</v>
      </c>
      <c r="H353" s="31">
        <v>-2.4958875369004176</v>
      </c>
      <c r="I353" s="48">
        <v>46.410214462248213</v>
      </c>
      <c r="J353" s="47" t="s">
        <v>1822</v>
      </c>
      <c r="K353" s="32">
        <v>0.21134636711180205</v>
      </c>
      <c r="L353" s="32">
        <v>0.21134634227328125</v>
      </c>
      <c r="M353" s="31">
        <v>-0.72038418389051639</v>
      </c>
      <c r="N353" s="31">
        <v>8.1346156843657737E-3</v>
      </c>
      <c r="O353" s="31">
        <v>65.823075733744119</v>
      </c>
      <c r="P353" s="31">
        <v>-3.5366443178069957</v>
      </c>
      <c r="Q353" s="31">
        <v>-260.08468429669051</v>
      </c>
      <c r="R353" s="31">
        <v>3.1499986066656014</v>
      </c>
      <c r="S353" s="31">
        <v>39.55000163494779</v>
      </c>
      <c r="T353" s="26" t="s">
        <v>46</v>
      </c>
      <c r="U353" s="26" t="s">
        <v>46</v>
      </c>
    </row>
    <row r="354" spans="1:21" x14ac:dyDescent="0.2">
      <c r="A354" s="31">
        <v>1.2676442373578183</v>
      </c>
      <c r="B354" s="46" t="s">
        <v>1823</v>
      </c>
      <c r="C354" s="32">
        <v>0.16101519618630411</v>
      </c>
      <c r="D354" s="32">
        <v>0.16101523304196516</v>
      </c>
      <c r="E354" s="31">
        <v>0.16565626974672609</v>
      </c>
      <c r="F354" s="31">
        <v>7.8992341762998408E-3</v>
      </c>
      <c r="G354" s="31">
        <v>48.696550625171064</v>
      </c>
      <c r="H354" s="31">
        <v>-2.2307168600667446</v>
      </c>
      <c r="I354" s="48">
        <v>38.929039672534842</v>
      </c>
      <c r="J354" s="47" t="s">
        <v>1824</v>
      </c>
      <c r="K354" s="32">
        <v>0.24032393389940263</v>
      </c>
      <c r="L354" s="32">
        <v>0.24032393230846869</v>
      </c>
      <c r="M354" s="31">
        <v>-0.71297329427759704</v>
      </c>
      <c r="N354" s="31">
        <v>7.2440729016286882E-3</v>
      </c>
      <c r="O354" s="31">
        <v>66.653994561983055</v>
      </c>
      <c r="P354" s="31">
        <v>-4.1115227331753035</v>
      </c>
      <c r="Q354" s="31">
        <v>-268.83630945561936</v>
      </c>
      <c r="R354" s="31">
        <v>2.5199982052561971</v>
      </c>
      <c r="S354" s="31">
        <v>45.500000106042101</v>
      </c>
      <c r="T354" s="26" t="s">
        <v>46</v>
      </c>
      <c r="U354" s="26" t="s">
        <v>46</v>
      </c>
    </row>
    <row r="355" spans="1:21" x14ac:dyDescent="0.2">
      <c r="A355" s="31">
        <v>1.3019048924215431</v>
      </c>
      <c r="B355" s="46" t="s">
        <v>1825</v>
      </c>
      <c r="C355" s="32">
        <v>0.16753392832875252</v>
      </c>
      <c r="D355" s="32">
        <v>0.1675338716790673</v>
      </c>
      <c r="E355" s="31">
        <v>0.14828233794586876</v>
      </c>
      <c r="F355" s="31">
        <v>7.0580571275669938E-3</v>
      </c>
      <c r="G355" s="31">
        <v>45.272480067668262</v>
      </c>
      <c r="H355" s="31">
        <v>-2.1541738613495625</v>
      </c>
      <c r="I355" s="48">
        <v>34.802499819235386</v>
      </c>
      <c r="J355" s="47" t="s">
        <v>1826</v>
      </c>
      <c r="K355" s="32">
        <v>0.21417104375362395</v>
      </c>
      <c r="L355" s="32">
        <v>0.21417087377736344</v>
      </c>
      <c r="M355" s="31">
        <v>-0.77661405129328331</v>
      </c>
      <c r="N355" s="31">
        <v>7.127467051093757E-3</v>
      </c>
      <c r="O355" s="31">
        <v>58.444320889598409</v>
      </c>
      <c r="P355" s="31">
        <v>-3.1104924418940341</v>
      </c>
      <c r="Q355" s="31">
        <v>-290.02614877161307</v>
      </c>
      <c r="R355" s="31">
        <v>2.2800025646711646</v>
      </c>
      <c r="S355" s="31">
        <v>48.000009934143968</v>
      </c>
      <c r="T355" s="26" t="s">
        <v>46</v>
      </c>
      <c r="U355" s="26" t="s">
        <v>46</v>
      </c>
    </row>
    <row r="356" spans="1:21" x14ac:dyDescent="0.2">
      <c r="A356" s="31">
        <v>1.3361655474852678</v>
      </c>
      <c r="B356" s="46" t="s">
        <v>1827</v>
      </c>
      <c r="C356" s="32">
        <v>0.16025954109430313</v>
      </c>
      <c r="D356" s="32">
        <v>0.16025943688932806</v>
      </c>
      <c r="E356" s="31">
        <v>0.11083985770813398</v>
      </c>
      <c r="F356" s="31">
        <v>6.0292201999939052E-3</v>
      </c>
      <c r="G356" s="31">
        <v>36.99400793512261</v>
      </c>
      <c r="H356" s="31">
        <v>-1.6826891737738987</v>
      </c>
      <c r="I356" s="48">
        <v>26.309888059756322</v>
      </c>
      <c r="J356" s="47" t="s">
        <v>1828</v>
      </c>
      <c r="K356" s="32">
        <v>0.1908211941242218</v>
      </c>
      <c r="L356" s="32">
        <v>0.19082136281201992</v>
      </c>
      <c r="M356" s="31">
        <v>-0.83858380625550633</v>
      </c>
      <c r="N356" s="31">
        <v>6.5540919837635062E-3</v>
      </c>
      <c r="O356" s="31">
        <v>47.883455819818828</v>
      </c>
      <c r="P356" s="31">
        <v>-2.1424561188837639</v>
      </c>
      <c r="Q356" s="31">
        <v>-311.85616572725678</v>
      </c>
      <c r="R356" s="31">
        <v>1.5400038549574795</v>
      </c>
      <c r="S356" s="31">
        <v>51.099991922640875</v>
      </c>
      <c r="T356" s="26" t="s">
        <v>46</v>
      </c>
      <c r="U356" s="26" t="s">
        <v>46</v>
      </c>
    </row>
    <row r="357" spans="1:21" x14ac:dyDescent="0.2">
      <c r="A357" s="31">
        <v>1.3704262025489928</v>
      </c>
      <c r="B357" s="46" t="s">
        <v>1829</v>
      </c>
      <c r="C357" s="32">
        <v>0.16012507525682448</v>
      </c>
      <c r="D357" s="32">
        <v>0.16012532084047143</v>
      </c>
      <c r="E357" s="31">
        <v>8.9926360285814688E-2</v>
      </c>
      <c r="F357" s="31">
        <v>5.1798125956297233E-3</v>
      </c>
      <c r="G357" s="31">
        <v>31.755557330518897</v>
      </c>
      <c r="H357" s="31">
        <v>-1.4417570651061185</v>
      </c>
      <c r="I357" s="48">
        <v>21.434547212270651</v>
      </c>
      <c r="J357" s="47" t="s">
        <v>1830</v>
      </c>
      <c r="K357" s="32">
        <v>0.16662986014485359</v>
      </c>
      <c r="L357" s="32">
        <v>0.16662988042270671</v>
      </c>
      <c r="M357" s="31">
        <v>-0.89978023713322353</v>
      </c>
      <c r="N357" s="31">
        <v>5.3912917601163608E-3</v>
      </c>
      <c r="O357" s="31">
        <v>34.394738351179029</v>
      </c>
      <c r="P357" s="31">
        <v>-1.1663889082782697</v>
      </c>
      <c r="Q357" s="31">
        <v>-334.29230527621434</v>
      </c>
      <c r="R357" s="31">
        <v>1.1999922013419351</v>
      </c>
      <c r="S357" s="31">
        <v>54.649999302548466</v>
      </c>
      <c r="T357" s="26" t="s">
        <v>46</v>
      </c>
      <c r="U357" s="26" t="s">
        <v>46</v>
      </c>
    </row>
    <row r="358" spans="1:21" x14ac:dyDescent="0.2">
      <c r="A358" s="31">
        <v>1.4389475126764424</v>
      </c>
      <c r="B358" s="46" t="s">
        <v>1831</v>
      </c>
      <c r="C358" s="32">
        <v>0.16417836196422575</v>
      </c>
      <c r="D358" s="32">
        <v>0.16417822973660598</v>
      </c>
      <c r="E358" s="31">
        <v>6.3707007377522107E-2</v>
      </c>
      <c r="F358" s="31">
        <v>3.885786103072557E-3</v>
      </c>
      <c r="G358" s="31">
        <v>24.425370164545498</v>
      </c>
      <c r="H358" s="31">
        <v>-1.1348948418687232</v>
      </c>
      <c r="I358" s="48">
        <v>15.239109911021222</v>
      </c>
      <c r="J358" s="47" t="s">
        <v>1832</v>
      </c>
      <c r="K358" s="32">
        <v>0.23416854561567305</v>
      </c>
      <c r="L358" s="32">
        <v>0.23416850268315079</v>
      </c>
      <c r="M358" s="31">
        <v>-0.83865491433609018</v>
      </c>
      <c r="N358" s="31">
        <v>5.3393179522425874E-3</v>
      </c>
      <c r="O358" s="31">
        <v>47.869697954776555</v>
      </c>
      <c r="P358" s="31">
        <v>-2.6832111822198486</v>
      </c>
      <c r="Q358" s="31">
        <v>-339.73793244476917</v>
      </c>
      <c r="R358" s="31">
        <v>0.82000322970510098</v>
      </c>
      <c r="S358" s="31">
        <v>66.600002055166627</v>
      </c>
      <c r="T358" s="26" t="s">
        <v>46</v>
      </c>
      <c r="U358" s="26" t="s">
        <v>46</v>
      </c>
    </row>
    <row r="359" spans="1:21" x14ac:dyDescent="0.2">
      <c r="A359" s="31">
        <v>1.5074688228038919</v>
      </c>
      <c r="B359" s="46" t="s">
        <v>1833</v>
      </c>
      <c r="C359" s="32">
        <v>0.1594405869245529</v>
      </c>
      <c r="D359" s="32">
        <v>0.15944032133004671</v>
      </c>
      <c r="E359" s="31">
        <v>3.6427326858867848E-2</v>
      </c>
      <c r="F359" s="31">
        <v>2.5592721116911668E-3</v>
      </c>
      <c r="G359" s="31">
        <v>15.622901466109283</v>
      </c>
      <c r="H359" s="31">
        <v>-0.70410119149846639</v>
      </c>
      <c r="I359" s="48">
        <v>8.8014885558473441</v>
      </c>
      <c r="J359" s="47" t="s">
        <v>1834</v>
      </c>
      <c r="K359" s="32">
        <v>0.22998365404605869</v>
      </c>
      <c r="L359" s="32">
        <v>0.22998363446107006</v>
      </c>
      <c r="M359" s="31">
        <v>-0.87768030080744452</v>
      </c>
      <c r="N359" s="31">
        <v>4.5055352054524369E-3</v>
      </c>
      <c r="O359" s="31">
        <v>39.672512211439781</v>
      </c>
      <c r="P359" s="31">
        <v>-2.0694405528538704</v>
      </c>
      <c r="Q359" s="31">
        <v>-366.06474176586613</v>
      </c>
      <c r="R359" s="31">
        <v>0.42000414934435781</v>
      </c>
      <c r="S359" s="31">
        <v>75.550000776985641</v>
      </c>
      <c r="T359" s="26" t="s">
        <v>46</v>
      </c>
      <c r="U359" s="26" t="s">
        <v>46</v>
      </c>
    </row>
    <row r="360" spans="1:21" x14ac:dyDescent="0.2">
      <c r="A360" s="31">
        <v>0.86894295645062369</v>
      </c>
      <c r="B360" s="46" t="s">
        <v>48</v>
      </c>
      <c r="C360" s="32">
        <v>0.21130291604995727</v>
      </c>
      <c r="D360" s="32">
        <v>0.21130364174244404</v>
      </c>
      <c r="E360" s="31">
        <v>0.88976762460402026</v>
      </c>
      <c r="F360" s="31">
        <v>1.5875424658759171E-2</v>
      </c>
      <c r="G360" s="31">
        <v>10.57215959006389</v>
      </c>
      <c r="H360" s="31">
        <v>-3.560284703674597</v>
      </c>
      <c r="I360" s="48">
        <v>24.204077750022197</v>
      </c>
      <c r="J360" s="47" t="s">
        <v>49</v>
      </c>
      <c r="K360" s="32">
        <v>0.27316149275302887</v>
      </c>
      <c r="L360" s="32">
        <v>0.27316134265827319</v>
      </c>
      <c r="M360" s="31">
        <v>-0.16371542457560251</v>
      </c>
      <c r="N360" s="31">
        <v>1.6105454109745024E-2</v>
      </c>
      <c r="O360" s="31">
        <v>13.865173889177191</v>
      </c>
      <c r="P360" s="31">
        <v>-5.7094722819804993</v>
      </c>
      <c r="Q360" s="31">
        <v>-5.7456552768489439</v>
      </c>
      <c r="R360" s="31">
        <v>13.549992327845402</v>
      </c>
      <c r="S360" s="31">
        <v>1.4300020810894205</v>
      </c>
      <c r="T360" s="31" t="s">
        <v>46</v>
      </c>
      <c r="U360" s="31" t="s">
        <v>46</v>
      </c>
    </row>
    <row r="361" spans="1:21" x14ac:dyDescent="0.2">
      <c r="A361" s="31">
        <v>0.92005724800654265</v>
      </c>
      <c r="B361" s="46" t="s">
        <v>50</v>
      </c>
      <c r="C361" s="32">
        <v>0.2212784215569496</v>
      </c>
      <c r="D361" s="32">
        <v>0.22127854277813658</v>
      </c>
      <c r="E361" s="31">
        <v>0.76594539940592488</v>
      </c>
      <c r="F361" s="31">
        <v>2.4682580810912774E-2</v>
      </c>
      <c r="G361" s="31">
        <v>17.213235121218279</v>
      </c>
      <c r="H361" s="31">
        <v>-5.9322290952372256</v>
      </c>
      <c r="I361" s="48">
        <v>21.482764351620588</v>
      </c>
      <c r="J361" s="47" t="s">
        <v>51</v>
      </c>
      <c r="K361" s="32">
        <v>0.26325965735912321</v>
      </c>
      <c r="L361" s="32">
        <v>0.26325963522421708</v>
      </c>
      <c r="M361" s="31">
        <v>-0.2636841801743125</v>
      </c>
      <c r="N361" s="31">
        <v>2.2106387334593743E-2</v>
      </c>
      <c r="O361" s="31">
        <v>18.34150444809767</v>
      </c>
      <c r="P361" s="31">
        <v>-7.2649174608010849</v>
      </c>
      <c r="Q361" s="31">
        <v>-9.3386835526143805</v>
      </c>
      <c r="R361" s="31">
        <v>9.6999979133909449</v>
      </c>
      <c r="S361" s="31">
        <v>2.5600004059874593</v>
      </c>
      <c r="T361" s="31" t="s">
        <v>46</v>
      </c>
      <c r="U361" s="31" t="s">
        <v>46</v>
      </c>
    </row>
    <row r="362" spans="1:21" x14ac:dyDescent="0.2">
      <c r="A362" s="31">
        <v>0.97117153956246172</v>
      </c>
      <c r="B362" s="46" t="s">
        <v>52</v>
      </c>
      <c r="C362" s="32">
        <v>0.2207798966169357</v>
      </c>
      <c r="D362" s="32">
        <v>0.22078027387067015</v>
      </c>
      <c r="E362" s="31">
        <v>0.61798676189306412</v>
      </c>
      <c r="F362" s="31">
        <v>3.0769120721909925E-2</v>
      </c>
      <c r="G362" s="31">
        <v>21.409547084186631</v>
      </c>
      <c r="H362" s="31">
        <v>-7.2998238431728781</v>
      </c>
      <c r="I362" s="48">
        <v>17.786201533331536</v>
      </c>
      <c r="J362" s="47" t="s">
        <v>53</v>
      </c>
      <c r="K362" s="32">
        <v>0.25531472904682162</v>
      </c>
      <c r="L362" s="32">
        <v>0.25531498002092756</v>
      </c>
      <c r="M362" s="31">
        <v>-0.39047896724785647</v>
      </c>
      <c r="N362" s="31">
        <v>2.6777940623174741E-2</v>
      </c>
      <c r="O362" s="31">
        <v>21.546955397702263</v>
      </c>
      <c r="P362" s="31">
        <v>-8.2535606241750727</v>
      </c>
      <c r="Q362" s="31">
        <v>-13.99690849923253</v>
      </c>
      <c r="R362" s="31">
        <v>6.4499919231680352</v>
      </c>
      <c r="S362" s="31">
        <v>4.2999945922720348</v>
      </c>
      <c r="T362" s="31" t="s">
        <v>46</v>
      </c>
      <c r="U362" s="31" t="s">
        <v>46</v>
      </c>
    </row>
    <row r="363" spans="1:21" x14ac:dyDescent="0.2">
      <c r="A363" s="31">
        <v>0.99672868534042125</v>
      </c>
      <c r="B363" s="46" t="s">
        <v>54</v>
      </c>
      <c r="C363" s="32">
        <v>0.2193980455636978</v>
      </c>
      <c r="D363" s="32">
        <v>0.21939778395116233</v>
      </c>
      <c r="E363" s="31">
        <v>0.53784117274351773</v>
      </c>
      <c r="F363" s="31">
        <v>3.2244175515736877E-2</v>
      </c>
      <c r="G363" s="31">
        <v>22.295483738454688</v>
      </c>
      <c r="H363" s="31">
        <v>-7.5350571787857028</v>
      </c>
      <c r="I363" s="48">
        <v>15.648663980035346</v>
      </c>
      <c r="J363" s="47" t="s">
        <v>55</v>
      </c>
      <c r="K363" s="32">
        <v>0.25501218091249467</v>
      </c>
      <c r="L363" s="32">
        <v>0.25501237131323096</v>
      </c>
      <c r="M363" s="31">
        <v>-0.45987786515062001</v>
      </c>
      <c r="N363" s="31">
        <v>2.7725470274623784E-2</v>
      </c>
      <c r="O363" s="31">
        <v>22.282951515529074</v>
      </c>
      <c r="P363" s="31">
        <v>-8.5102144058903306</v>
      </c>
      <c r="Q363" s="31">
        <v>-16.628081896223328</v>
      </c>
      <c r="R363" s="31">
        <v>5.100005832778038</v>
      </c>
      <c r="S363" s="31">
        <v>5.4999957573096436</v>
      </c>
      <c r="T363" s="31" t="s">
        <v>46</v>
      </c>
      <c r="U363" s="31" t="s">
        <v>46</v>
      </c>
    </row>
    <row r="364" spans="1:21" x14ac:dyDescent="0.2">
      <c r="A364" s="31">
        <v>1.0222858311183807</v>
      </c>
      <c r="B364" s="46" t="s">
        <v>56</v>
      </c>
      <c r="C364" s="32">
        <v>0.21797041890621183</v>
      </c>
      <c r="D364" s="32">
        <v>0.21797080029936564</v>
      </c>
      <c r="E364" s="31">
        <v>0.4571588792652802</v>
      </c>
      <c r="F364" s="31">
        <v>3.2413974110022274E-2</v>
      </c>
      <c r="G364" s="31">
        <v>22.26705123018073</v>
      </c>
      <c r="H364" s="31">
        <v>-7.4618220281913326</v>
      </c>
      <c r="I364" s="48">
        <v>13.427983608282197</v>
      </c>
      <c r="J364" s="47" t="s">
        <v>57</v>
      </c>
      <c r="K364" s="32">
        <v>0.25588406312465667</v>
      </c>
      <c r="L364" s="32">
        <v>0.25588408098746623</v>
      </c>
      <c r="M364" s="31">
        <v>-0.52850221642359407</v>
      </c>
      <c r="N364" s="31">
        <v>2.7700660319706673E-2</v>
      </c>
      <c r="O364" s="31">
        <v>22.339128612853756</v>
      </c>
      <c r="P364" s="31">
        <v>-8.5428702263200726</v>
      </c>
      <c r="Q364" s="31">
        <v>-19.300159983983978</v>
      </c>
      <c r="R364" s="31">
        <v>3.9499915074989218</v>
      </c>
      <c r="S364" s="31">
        <v>6.8999996009604043</v>
      </c>
      <c r="T364" s="31" t="s">
        <v>46</v>
      </c>
      <c r="U364" s="31" t="s">
        <v>46</v>
      </c>
    </row>
    <row r="365" spans="1:21" x14ac:dyDescent="0.2">
      <c r="A365" s="31">
        <v>1.0734001226742997</v>
      </c>
      <c r="B365" s="46" t="s">
        <v>58</v>
      </c>
      <c r="C365" s="32">
        <v>0.21912911388874051</v>
      </c>
      <c r="D365" s="32">
        <v>0.21912887373223852</v>
      </c>
      <c r="E365" s="31">
        <v>0.31053745212828188</v>
      </c>
      <c r="F365" s="31">
        <v>2.8699975145227104E-2</v>
      </c>
      <c r="G365" s="31">
        <v>19.820493873304784</v>
      </c>
      <c r="H365" s="31">
        <v>-6.6579398638891956</v>
      </c>
      <c r="I365" s="48">
        <v>9.247505230672374</v>
      </c>
      <c r="J365" s="47" t="s">
        <v>59</v>
      </c>
      <c r="K365" s="32">
        <v>0.25853475670814519</v>
      </c>
      <c r="L365" s="32">
        <v>0.25853508885919907</v>
      </c>
      <c r="M365" s="31">
        <v>-0.65471839219192229</v>
      </c>
      <c r="N365" s="31">
        <v>2.5392880922530357E-2</v>
      </c>
      <c r="O365" s="31">
        <v>20.690156771729313</v>
      </c>
      <c r="P365" s="31">
        <v>-7.9495954242767848</v>
      </c>
      <c r="Q365" s="31">
        <v>-24.453563382180523</v>
      </c>
      <c r="R365" s="31">
        <v>2.3000047600196858</v>
      </c>
      <c r="S365" s="31">
        <v>10.199993127741665</v>
      </c>
      <c r="T365" s="31" t="s">
        <v>46</v>
      </c>
      <c r="U365" s="31" t="s">
        <v>46</v>
      </c>
    </row>
    <row r="366" spans="1:21" x14ac:dyDescent="0.2">
      <c r="A366" s="31">
        <v>1.1245144142302188</v>
      </c>
      <c r="B366" s="46" t="s">
        <v>60</v>
      </c>
      <c r="C366" s="32">
        <v>0.22014619059562679</v>
      </c>
      <c r="D366" s="32">
        <v>0.22014619408233868</v>
      </c>
      <c r="E366" s="31">
        <v>0.19498639701693776</v>
      </c>
      <c r="F366" s="31">
        <v>2.230770447327424E-2</v>
      </c>
      <c r="G366" s="31">
        <v>15.477432756292647</v>
      </c>
      <c r="H366" s="31">
        <v>-5.2134956849607343</v>
      </c>
      <c r="I366" s="48">
        <v>5.867169259865852</v>
      </c>
      <c r="J366" s="47" t="s">
        <v>61</v>
      </c>
      <c r="K366" s="32">
        <v>0.26765554585456852</v>
      </c>
      <c r="L366" s="32">
        <v>0.26765544052086554</v>
      </c>
      <c r="M366" s="31">
        <v>-0.75245274327853773</v>
      </c>
      <c r="N366" s="31">
        <v>2.103775469717387E-2</v>
      </c>
      <c r="O366" s="31">
        <v>17.746327905874562</v>
      </c>
      <c r="P366" s="31">
        <v>-7.0088599108861294</v>
      </c>
      <c r="Q366" s="31">
        <v>-28.903408901207065</v>
      </c>
      <c r="R366" s="31">
        <v>1.2599999460346538</v>
      </c>
      <c r="S366" s="31">
        <v>14.150001869286228</v>
      </c>
      <c r="T366" s="31" t="s">
        <v>46</v>
      </c>
      <c r="U366" s="31" t="s">
        <v>46</v>
      </c>
    </row>
    <row r="367" spans="1:21" x14ac:dyDescent="0.2">
      <c r="A367" s="31">
        <v>1.1756287057861379</v>
      </c>
      <c r="B367" s="46" t="s">
        <v>62</v>
      </c>
      <c r="C367" s="32">
        <v>0.22175978064537047</v>
      </c>
      <c r="D367" s="32">
        <v>0.22175892161966215</v>
      </c>
      <c r="E367" s="31">
        <v>0.11472762679788207</v>
      </c>
      <c r="F367" s="31">
        <v>1.5564996868160689E-2</v>
      </c>
      <c r="G367" s="31">
        <v>10.878391626727183</v>
      </c>
      <c r="H367" s="31">
        <v>-3.6864761073698262</v>
      </c>
      <c r="I367" s="48">
        <v>3.478967488088756</v>
      </c>
      <c r="J367" s="47" t="s">
        <v>63</v>
      </c>
      <c r="K367" s="32">
        <v>0.27975747122764583</v>
      </c>
      <c r="L367" s="32">
        <v>0.27975732598467862</v>
      </c>
      <c r="M367" s="31">
        <v>-0.82194069044483442</v>
      </c>
      <c r="N367" s="31">
        <v>1.6594097057821902E-2</v>
      </c>
      <c r="O367" s="31">
        <v>14.630803857832664</v>
      </c>
      <c r="P367" s="31">
        <v>-5.986111161337643</v>
      </c>
      <c r="Q367" s="31">
        <v>-32.57494213274596</v>
      </c>
      <c r="R367" s="31">
        <v>0.66000934478916307</v>
      </c>
      <c r="S367" s="31">
        <v>18.500002125020814</v>
      </c>
      <c r="T367" s="31" t="s">
        <v>46</v>
      </c>
      <c r="U367" s="31" t="s">
        <v>46</v>
      </c>
    </row>
    <row r="368" spans="1:21" x14ac:dyDescent="0.2">
      <c r="A368" s="31">
        <v>1.2267429973420569</v>
      </c>
      <c r="B368" s="46" t="s">
        <v>64</v>
      </c>
      <c r="C368" s="32">
        <v>0.22461503396034241</v>
      </c>
      <c r="D368" s="32">
        <v>0.22461505256822101</v>
      </c>
      <c r="E368" s="31">
        <v>6.4884259638782305E-2</v>
      </c>
      <c r="F368" s="31">
        <v>1.0041366541996562E-2</v>
      </c>
      <c r="G368" s="31">
        <v>7.1082797314412476</v>
      </c>
      <c r="H368" s="31">
        <v>-2.4376104764678295</v>
      </c>
      <c r="I368" s="48">
        <v>1.9784875671002984</v>
      </c>
      <c r="J368" s="47" t="s">
        <v>65</v>
      </c>
      <c r="K368" s="32">
        <v>0.30238921606540686</v>
      </c>
      <c r="L368" s="32">
        <v>0.30238946585717336</v>
      </c>
      <c r="M368" s="31">
        <v>-0.86136226785878145</v>
      </c>
      <c r="N368" s="31">
        <v>1.3024396134671894E-2</v>
      </c>
      <c r="O368" s="31">
        <v>12.412428631129115</v>
      </c>
      <c r="P368" s="31">
        <v>-5.4507546618282428</v>
      </c>
      <c r="Q368" s="31">
        <v>-35.393060793407351</v>
      </c>
      <c r="R368" s="31">
        <v>0.33999986772996937</v>
      </c>
      <c r="S368" s="31">
        <v>23.199996899475771</v>
      </c>
      <c r="T368" s="31" t="s">
        <v>46</v>
      </c>
      <c r="U368" s="31" t="s">
        <v>46</v>
      </c>
    </row>
    <row r="369" spans="1:21" x14ac:dyDescent="0.2">
      <c r="A369" s="31">
        <v>1.277857288897976</v>
      </c>
      <c r="B369" s="46" t="s">
        <v>66</v>
      </c>
      <c r="C369" s="32">
        <v>0.2294815528869629</v>
      </c>
      <c r="D369" s="32">
        <v>0.22948176830924638</v>
      </c>
      <c r="E369" s="31">
        <v>3.6720042898449545E-2</v>
      </c>
      <c r="F369" s="31">
        <v>6.2383252562976743E-3</v>
      </c>
      <c r="G369" s="31">
        <v>4.5117877739793082</v>
      </c>
      <c r="H369" s="31">
        <v>-1.5796171301143416</v>
      </c>
      <c r="I369" s="48">
        <v>1.1237778660679645</v>
      </c>
      <c r="J369" s="47" t="s">
        <v>67</v>
      </c>
      <c r="K369" s="32">
        <v>0.32957849450111398</v>
      </c>
      <c r="L369" s="32">
        <v>0.3295786007383194</v>
      </c>
      <c r="M369" s="31">
        <v>-0.88448156625209018</v>
      </c>
      <c r="N369" s="31">
        <v>1.0524322255779364E-2</v>
      </c>
      <c r="O369" s="31">
        <v>10.931653864066043</v>
      </c>
      <c r="P369" s="31">
        <v>-5.2058575998227949</v>
      </c>
      <c r="Q369" s="31">
        <v>-37.73535214528232</v>
      </c>
      <c r="R369" s="31">
        <v>0.17999902805880685</v>
      </c>
      <c r="S369" s="31">
        <v>28.04999883865133</v>
      </c>
      <c r="T369" s="31" t="s">
        <v>46</v>
      </c>
      <c r="U369" s="31" t="s">
        <v>46</v>
      </c>
    </row>
    <row r="370" spans="1:21" x14ac:dyDescent="0.2">
      <c r="A370" s="31">
        <v>1.3289715804538951</v>
      </c>
      <c r="B370" s="46" t="s">
        <v>68</v>
      </c>
      <c r="C370" s="32">
        <v>0.23594735698699948</v>
      </c>
      <c r="D370" s="32">
        <v>0.23594705919202086</v>
      </c>
      <c r="E370" s="31">
        <v>2.1330486056747699E-2</v>
      </c>
      <c r="F370" s="31">
        <v>3.86027403799544E-3</v>
      </c>
      <c r="G370" s="31">
        <v>2.8705566461524632</v>
      </c>
      <c r="H370" s="31">
        <v>-1.0327598045542403</v>
      </c>
      <c r="I370" s="48">
        <v>0.65429918326153402</v>
      </c>
      <c r="J370" s="47" t="s">
        <v>69</v>
      </c>
      <c r="K370" s="32">
        <v>0.35136482114791873</v>
      </c>
      <c r="L370" s="32">
        <v>0.3513653371628524</v>
      </c>
      <c r="M370" s="31">
        <v>-0.90419196109089772</v>
      </c>
      <c r="N370" s="31">
        <v>8.6221765327045563E-3</v>
      </c>
      <c r="O370" s="31">
        <v>9.5479042821766331</v>
      </c>
      <c r="P370" s="31">
        <v>-4.8137248662480161</v>
      </c>
      <c r="Q370" s="31">
        <v>-39.967812003820178</v>
      </c>
      <c r="R370" s="31">
        <v>0.10000085483498711</v>
      </c>
      <c r="S370" s="31">
        <v>32.899995073131684</v>
      </c>
      <c r="T370" s="31" t="s">
        <v>46</v>
      </c>
      <c r="U370" s="31" t="s">
        <v>46</v>
      </c>
    </row>
    <row r="371" spans="1:21" x14ac:dyDescent="0.2">
      <c r="A371" s="31">
        <v>1.3800858720098141</v>
      </c>
      <c r="B371" s="46" t="s">
        <v>70</v>
      </c>
      <c r="C371" s="32">
        <v>0.24419840965270997</v>
      </c>
      <c r="D371" s="32">
        <v>0.24419511284668244</v>
      </c>
      <c r="E371" s="31">
        <v>1.3102446435608317E-2</v>
      </c>
      <c r="F371" s="31">
        <v>2.4584595035856637E-3</v>
      </c>
      <c r="G371" s="31">
        <v>1.8920767918286292</v>
      </c>
      <c r="H371" s="31">
        <v>-0.70422323242514817</v>
      </c>
      <c r="I371" s="48">
        <v>0.4023778633761928</v>
      </c>
      <c r="J371" s="47" t="s">
        <v>71</v>
      </c>
      <c r="K371" s="32">
        <v>0</v>
      </c>
      <c r="L371" s="32">
        <v>0</v>
      </c>
      <c r="M371" s="31">
        <v>-0.50000000052480864</v>
      </c>
      <c r="N371" s="31">
        <v>0</v>
      </c>
      <c r="O371" s="31">
        <v>0</v>
      </c>
      <c r="P371" s="31">
        <v>0</v>
      </c>
      <c r="Q371" s="31">
        <v>0</v>
      </c>
      <c r="R371" s="31">
        <v>6.0006237588943856E-2</v>
      </c>
      <c r="S371" s="31">
        <v>0</v>
      </c>
      <c r="T371" s="31" t="s">
        <v>46</v>
      </c>
      <c r="U371" s="31" t="s">
        <v>47</v>
      </c>
    </row>
    <row r="372" spans="1:21" x14ac:dyDescent="0.2">
      <c r="A372" s="31">
        <v>1.431200163565733</v>
      </c>
      <c r="B372" s="46" t="s">
        <v>72</v>
      </c>
      <c r="C372" s="32">
        <v>0.24626975574493409</v>
      </c>
      <c r="D372" s="32">
        <v>0.24626860979771437</v>
      </c>
      <c r="E372" s="31">
        <v>6.9353852957585449E-3</v>
      </c>
      <c r="F372" s="31">
        <v>1.3980110141942009E-3</v>
      </c>
      <c r="G372" s="31">
        <v>1.0850619672888062</v>
      </c>
      <c r="H372" s="31">
        <v>-0.40714752977041263</v>
      </c>
      <c r="I372" s="48">
        <v>0.21356766520085585</v>
      </c>
      <c r="J372" s="47" t="s">
        <v>73</v>
      </c>
      <c r="K372" s="32">
        <v>0</v>
      </c>
      <c r="L372" s="32">
        <v>0</v>
      </c>
      <c r="M372" s="31">
        <v>-0.50000000052480864</v>
      </c>
      <c r="N372" s="31">
        <v>0</v>
      </c>
      <c r="O372" s="31">
        <v>0</v>
      </c>
      <c r="P372" s="31">
        <v>0</v>
      </c>
      <c r="Q372" s="31">
        <v>0</v>
      </c>
      <c r="R372" s="31">
        <v>3.0001243405222588E-2</v>
      </c>
      <c r="S372" s="31">
        <v>0</v>
      </c>
      <c r="T372" s="31" t="s">
        <v>46</v>
      </c>
      <c r="U372" s="31" t="s">
        <v>47</v>
      </c>
    </row>
    <row r="373" spans="1:21" x14ac:dyDescent="0.2">
      <c r="A373" s="31">
        <v>1.4823144551216521</v>
      </c>
      <c r="B373" s="46" t="s">
        <v>74</v>
      </c>
      <c r="C373" s="32">
        <v>0.28330221958160395</v>
      </c>
      <c r="D373" s="32">
        <v>0.28329873136500239</v>
      </c>
      <c r="E373" s="31">
        <v>9.7738592512747191E-3</v>
      </c>
      <c r="F373" s="31">
        <v>1.6426396016017853E-3</v>
      </c>
      <c r="G373" s="31">
        <v>1.4666454338311696</v>
      </c>
      <c r="H373" s="31">
        <v>-0.63284894608715359</v>
      </c>
      <c r="I373" s="48">
        <v>0.2984304270890169</v>
      </c>
      <c r="J373" s="47" t="s">
        <v>75</v>
      </c>
      <c r="K373" s="32">
        <v>0</v>
      </c>
      <c r="L373" s="32">
        <v>0</v>
      </c>
      <c r="M373" s="31">
        <v>-0.50000000052480864</v>
      </c>
      <c r="N373" s="31">
        <v>0</v>
      </c>
      <c r="O373" s="31">
        <v>0</v>
      </c>
      <c r="P373" s="31">
        <v>0</v>
      </c>
      <c r="Q373" s="31">
        <v>0</v>
      </c>
      <c r="R373" s="31">
        <v>5.0005115793287258E-2</v>
      </c>
      <c r="S373" s="31">
        <v>0</v>
      </c>
      <c r="T373" s="31" t="s">
        <v>46</v>
      </c>
      <c r="U373" s="31" t="s">
        <v>47</v>
      </c>
    </row>
    <row r="374" spans="1:21" x14ac:dyDescent="0.2">
      <c r="A374" s="31">
        <v>1.5334287466775711</v>
      </c>
      <c r="B374" s="46" t="s">
        <v>76</v>
      </c>
      <c r="C374" s="32">
        <v>0.28703293132781982</v>
      </c>
      <c r="D374" s="32">
        <v>0.28703398398676738</v>
      </c>
      <c r="E374" s="31">
        <v>6.0666686254109425E-3</v>
      </c>
      <c r="F374" s="31">
        <v>1.0655570490021489E-3</v>
      </c>
      <c r="G374" s="31">
        <v>0.96392068777099738</v>
      </c>
      <c r="H374" s="31">
        <v>-0.42131158713293126</v>
      </c>
      <c r="I374" s="48">
        <v>0.18558001923768902</v>
      </c>
      <c r="J374" s="47" t="s">
        <v>77</v>
      </c>
      <c r="K374" s="32">
        <v>0</v>
      </c>
      <c r="L374" s="32">
        <v>0</v>
      </c>
      <c r="M374" s="31">
        <v>-0.50000000052480864</v>
      </c>
      <c r="N374" s="31">
        <v>0</v>
      </c>
      <c r="O374" s="31">
        <v>0</v>
      </c>
      <c r="P374" s="31">
        <v>0</v>
      </c>
      <c r="Q374" s="31">
        <v>0</v>
      </c>
      <c r="R374" s="31">
        <v>2.9998985307789328E-2</v>
      </c>
      <c r="S374" s="31">
        <v>0</v>
      </c>
      <c r="T374" s="31" t="s">
        <v>46</v>
      </c>
      <c r="U374" s="31" t="s">
        <v>47</v>
      </c>
    </row>
    <row r="375" spans="1:21" x14ac:dyDescent="0.2">
      <c r="A375" s="31">
        <v>0.51114291555919034</v>
      </c>
      <c r="B375" s="46" t="s">
        <v>78</v>
      </c>
      <c r="C375" s="32">
        <v>1.3281675792217253</v>
      </c>
      <c r="D375" s="32">
        <v>1.3281681473020506</v>
      </c>
      <c r="E375" s="31">
        <v>0.88169516769979661</v>
      </c>
      <c r="F375" s="31">
        <v>2.1388028635796075E-3</v>
      </c>
      <c r="G375" s="31">
        <v>13.806651970566053</v>
      </c>
      <c r="H375" s="31">
        <v>-18.119212439976124</v>
      </c>
      <c r="I375" s="48">
        <v>15.059013421486132</v>
      </c>
      <c r="J375" s="47" t="s">
        <v>79</v>
      </c>
      <c r="K375" s="32">
        <v>0.40709089736938481</v>
      </c>
      <c r="L375" s="32">
        <v>0.40708643787795229</v>
      </c>
      <c r="M375" s="31">
        <v>-6.904461985177468E-3</v>
      </c>
      <c r="N375" s="31">
        <v>6.7834508423327434E-4</v>
      </c>
      <c r="O375" s="31">
        <v>1.3421678127679091</v>
      </c>
      <c r="P375" s="31">
        <v>-0.53613263119020338</v>
      </c>
      <c r="Q375" s="31">
        <v>-0.37861442714464499</v>
      </c>
      <c r="R375" s="31">
        <v>56.599992156712176</v>
      </c>
      <c r="S375" s="31">
        <v>7.0005985210532584E-2</v>
      </c>
      <c r="T375" s="31" t="s">
        <v>46</v>
      </c>
      <c r="U375" s="31" t="s">
        <v>46</v>
      </c>
    </row>
    <row r="376" spans="1:21" x14ac:dyDescent="0.2">
      <c r="A376" s="31">
        <v>0.5622572071151094</v>
      </c>
      <c r="B376" s="46" t="s">
        <v>80</v>
      </c>
      <c r="C376" s="32">
        <v>1.1118635442733764</v>
      </c>
      <c r="D376" s="32">
        <v>1.1118629012500258</v>
      </c>
      <c r="E376" s="31">
        <v>0.86955989368240139</v>
      </c>
      <c r="F376" s="31">
        <v>2.7354867105484114E-3</v>
      </c>
      <c r="G376" s="31">
        <v>14.78260069306153</v>
      </c>
      <c r="H376" s="31">
        <v>-16.259022414319073</v>
      </c>
      <c r="I376" s="48">
        <v>17.579855438221571</v>
      </c>
      <c r="J376" s="47" t="s">
        <v>81</v>
      </c>
      <c r="K376" s="32">
        <v>0.38580524139404293</v>
      </c>
      <c r="L376" s="32">
        <v>0.38580740478070746</v>
      </c>
      <c r="M376" s="31">
        <v>-1.2681688027743498E-2</v>
      </c>
      <c r="N376" s="31">
        <v>1.2181832424924101E-3</v>
      </c>
      <c r="O376" s="31">
        <v>2.2842597658689594</v>
      </c>
      <c r="P376" s="31">
        <v>-0.864357208398846</v>
      </c>
      <c r="Q376" s="31">
        <v>-0.69613615001244455</v>
      </c>
      <c r="R376" s="31">
        <v>50.450009505556423</v>
      </c>
      <c r="S376" s="31">
        <v>0.12999505820214063</v>
      </c>
      <c r="T376" s="31" t="s">
        <v>46</v>
      </c>
      <c r="U376" s="31" t="s">
        <v>46</v>
      </c>
    </row>
    <row r="377" spans="1:21" x14ac:dyDescent="0.2">
      <c r="A377" s="31">
        <v>0.61337149867102847</v>
      </c>
      <c r="B377" s="46" t="s">
        <v>82</v>
      </c>
      <c r="C377" s="32">
        <v>0.99221040623188017</v>
      </c>
      <c r="D377" s="32">
        <v>0.99221039419585277</v>
      </c>
      <c r="E377" s="31">
        <v>0.85231936234547034</v>
      </c>
      <c r="F377" s="31">
        <v>3.3357459618099288E-3</v>
      </c>
      <c r="G377" s="31">
        <v>16.086497372256169</v>
      </c>
      <c r="H377" s="31">
        <v>-15.799021417531026</v>
      </c>
      <c r="I377" s="48">
        <v>19.262922325054152</v>
      </c>
      <c r="J377" s="47" t="s">
        <v>83</v>
      </c>
      <c r="K377" s="32">
        <v>0.36270572710037235</v>
      </c>
      <c r="L377" s="32">
        <v>0.36270430609897925</v>
      </c>
      <c r="M377" s="31">
        <v>-2.1452912831122384E-2</v>
      </c>
      <c r="N377" s="31">
        <v>2.031956050427088E-3</v>
      </c>
      <c r="O377" s="31">
        <v>3.5820650573521675</v>
      </c>
      <c r="P377" s="31">
        <v>-1.2736023304480639</v>
      </c>
      <c r="Q377" s="31">
        <v>-1.1776675418649774</v>
      </c>
      <c r="R377" s="31">
        <v>45.450000193617527</v>
      </c>
      <c r="S377" s="31">
        <v>0.22000509008379732</v>
      </c>
      <c r="T377" s="31" t="s">
        <v>46</v>
      </c>
      <c r="U377" s="31" t="s">
        <v>46</v>
      </c>
    </row>
    <row r="378" spans="1:21" x14ac:dyDescent="0.2">
      <c r="A378" s="31">
        <v>0.66448579022694754</v>
      </c>
      <c r="B378" s="46" t="s">
        <v>84</v>
      </c>
      <c r="C378" s="32">
        <v>1.1269129894137382</v>
      </c>
      <c r="D378" s="32">
        <v>1.1269129694467694</v>
      </c>
      <c r="E378" s="31">
        <v>0.81910338574989439</v>
      </c>
      <c r="F378" s="31">
        <v>3.3503862571584481E-3</v>
      </c>
      <c r="G378" s="31">
        <v>18.350589036574007</v>
      </c>
      <c r="H378" s="31">
        <v>-20.43753148811815</v>
      </c>
      <c r="I378" s="48">
        <v>17.917304592549595</v>
      </c>
      <c r="J378" s="47" t="s">
        <v>85</v>
      </c>
      <c r="K378" s="32">
        <v>0.33841890807151798</v>
      </c>
      <c r="L378" s="32">
        <v>0.33841977220117114</v>
      </c>
      <c r="M378" s="31">
        <v>-3.4369812892923401E-2</v>
      </c>
      <c r="N378" s="31">
        <v>3.2265956682377131E-3</v>
      </c>
      <c r="O378" s="31">
        <v>5.3071811556289346</v>
      </c>
      <c r="P378" s="31">
        <v>-1.7594494336810673</v>
      </c>
      <c r="Q378" s="31">
        <v>-1.8854889469619733</v>
      </c>
      <c r="R378" s="31">
        <v>44.850000366405645</v>
      </c>
      <c r="S378" s="31">
        <v>0.34999541389055844</v>
      </c>
      <c r="T378" s="31" t="s">
        <v>46</v>
      </c>
      <c r="U378" s="31" t="s">
        <v>46</v>
      </c>
    </row>
    <row r="379" spans="1:21" x14ac:dyDescent="0.2">
      <c r="A379" s="31">
        <v>0.71560008178286649</v>
      </c>
      <c r="B379" s="46" t="s">
        <v>86</v>
      </c>
      <c r="C379" s="32">
        <v>0</v>
      </c>
      <c r="D379" s="32">
        <v>847.39373566751021</v>
      </c>
      <c r="E379" s="31">
        <v>0.50000000052480864</v>
      </c>
      <c r="F379" s="31">
        <v>0</v>
      </c>
      <c r="G379" s="31">
        <v>0</v>
      </c>
      <c r="H379" s="31">
        <v>0</v>
      </c>
      <c r="I379" s="48">
        <v>0</v>
      </c>
      <c r="J379" s="47" t="s">
        <v>87</v>
      </c>
      <c r="K379" s="32">
        <v>0.31277169530391696</v>
      </c>
      <c r="L379" s="32">
        <v>0.3127716319822671</v>
      </c>
      <c r="M379" s="31">
        <v>-5.2842770584967114E-2</v>
      </c>
      <c r="N379" s="31">
        <v>4.9425392406225238E-3</v>
      </c>
      <c r="O379" s="31">
        <v>7.5135004362320474</v>
      </c>
      <c r="P379" s="31">
        <v>-2.3001834637381777</v>
      </c>
      <c r="Q379" s="31">
        <v>-2.8947732039292933</v>
      </c>
      <c r="R379" s="31">
        <v>0</v>
      </c>
      <c r="S379" s="31">
        <v>0.53000047576714615</v>
      </c>
      <c r="T379" s="31" t="s">
        <v>46</v>
      </c>
      <c r="U379" s="31" t="s">
        <v>46</v>
      </c>
    </row>
    <row r="380" spans="1:21" x14ac:dyDescent="0.2">
      <c r="A380" s="31">
        <v>0.76671437333878556</v>
      </c>
      <c r="B380" s="46" t="s">
        <v>88</v>
      </c>
      <c r="C380" s="32">
        <v>0</v>
      </c>
      <c r="D380" s="32">
        <v>1</v>
      </c>
      <c r="E380" s="31">
        <v>0.50000000052480864</v>
      </c>
      <c r="F380" s="31">
        <v>0</v>
      </c>
      <c r="G380" s="31">
        <v>0</v>
      </c>
      <c r="H380" s="31">
        <v>0</v>
      </c>
      <c r="I380" s="48">
        <v>0</v>
      </c>
      <c r="J380" s="47" t="s">
        <v>89</v>
      </c>
      <c r="K380" s="32">
        <v>0</v>
      </c>
      <c r="L380" s="32">
        <v>1</v>
      </c>
      <c r="M380" s="31">
        <v>-0.50000000052480864</v>
      </c>
      <c r="N380" s="31">
        <v>0</v>
      </c>
      <c r="O380" s="31">
        <v>0</v>
      </c>
      <c r="P380" s="31">
        <v>0</v>
      </c>
      <c r="Q380" s="31">
        <v>0</v>
      </c>
      <c r="R380" s="31">
        <v>0</v>
      </c>
      <c r="S380" s="31">
        <v>0</v>
      </c>
      <c r="T380" s="31" t="s">
        <v>46</v>
      </c>
      <c r="U380" s="31" t="s">
        <v>46</v>
      </c>
    </row>
    <row r="381" spans="1:21" x14ac:dyDescent="0.2">
      <c r="A381" s="31">
        <v>0.81782866489470463</v>
      </c>
      <c r="B381" s="46" t="s">
        <v>90</v>
      </c>
      <c r="C381" s="32">
        <v>0</v>
      </c>
      <c r="D381" s="32">
        <v>1</v>
      </c>
      <c r="E381" s="31">
        <v>0.50000000052480864</v>
      </c>
      <c r="F381" s="31">
        <v>0</v>
      </c>
      <c r="G381" s="31">
        <v>0</v>
      </c>
      <c r="H381" s="31">
        <v>0</v>
      </c>
      <c r="I381" s="48">
        <v>0</v>
      </c>
      <c r="J381" s="47" t="s">
        <v>91</v>
      </c>
      <c r="K381" s="32">
        <v>0</v>
      </c>
      <c r="L381" s="32">
        <v>1</v>
      </c>
      <c r="M381" s="31">
        <v>-0.50000000052480864</v>
      </c>
      <c r="N381" s="31">
        <v>0</v>
      </c>
      <c r="O381" s="31">
        <v>0</v>
      </c>
      <c r="P381" s="31">
        <v>0</v>
      </c>
      <c r="Q381" s="31">
        <v>0</v>
      </c>
      <c r="R381" s="31">
        <v>0</v>
      </c>
      <c r="S381" s="31">
        <v>0</v>
      </c>
      <c r="T381" s="31" t="s">
        <v>46</v>
      </c>
      <c r="U381" s="31" t="s">
        <v>46</v>
      </c>
    </row>
    <row r="382" spans="1:21" x14ac:dyDescent="0.2">
      <c r="A382" s="31">
        <v>0.86894295645062369</v>
      </c>
      <c r="B382" s="46" t="s">
        <v>92</v>
      </c>
      <c r="C382" s="32">
        <v>0</v>
      </c>
      <c r="D382" s="32">
        <v>1</v>
      </c>
      <c r="E382" s="31">
        <v>0.50000000052480864</v>
      </c>
      <c r="F382" s="31">
        <v>0</v>
      </c>
      <c r="G382" s="31">
        <v>0</v>
      </c>
      <c r="H382" s="31">
        <v>0</v>
      </c>
      <c r="I382" s="48">
        <v>0</v>
      </c>
      <c r="J382" s="47" t="s">
        <v>93</v>
      </c>
      <c r="K382" s="32">
        <v>0</v>
      </c>
      <c r="L382" s="32">
        <v>1</v>
      </c>
      <c r="M382" s="31">
        <v>-0.50000000052480864</v>
      </c>
      <c r="N382" s="31">
        <v>0</v>
      </c>
      <c r="O382" s="31">
        <v>0</v>
      </c>
      <c r="P382" s="31">
        <v>0</v>
      </c>
      <c r="Q382" s="31">
        <v>0</v>
      </c>
      <c r="R382" s="31">
        <v>0</v>
      </c>
      <c r="S382" s="31">
        <v>0</v>
      </c>
      <c r="T382" s="31" t="s">
        <v>46</v>
      </c>
      <c r="U382" s="31" t="s">
        <v>46</v>
      </c>
    </row>
    <row r="383" spans="1:21" x14ac:dyDescent="0.2">
      <c r="A383" s="31">
        <v>0.89450010222858323</v>
      </c>
      <c r="B383" s="46" t="s">
        <v>94</v>
      </c>
      <c r="C383" s="32">
        <v>0</v>
      </c>
      <c r="D383" s="32">
        <v>1</v>
      </c>
      <c r="E383" s="31">
        <v>0.50000000052480864</v>
      </c>
      <c r="F383" s="31">
        <v>0</v>
      </c>
      <c r="G383" s="31">
        <v>0</v>
      </c>
      <c r="H383" s="31">
        <v>0</v>
      </c>
      <c r="I383" s="48">
        <v>0</v>
      </c>
      <c r="J383" s="47" t="s">
        <v>95</v>
      </c>
      <c r="K383" s="32">
        <v>0</v>
      </c>
      <c r="L383" s="32">
        <v>1</v>
      </c>
      <c r="M383" s="31">
        <v>-0.50000000052480864</v>
      </c>
      <c r="N383" s="31">
        <v>0</v>
      </c>
      <c r="O383" s="31">
        <v>0</v>
      </c>
      <c r="P383" s="31">
        <v>0</v>
      </c>
      <c r="Q383" s="31">
        <v>0</v>
      </c>
      <c r="R383" s="31">
        <v>0</v>
      </c>
      <c r="S383" s="31">
        <v>0</v>
      </c>
      <c r="T383" s="31" t="s">
        <v>46</v>
      </c>
      <c r="U383" s="31" t="s">
        <v>46</v>
      </c>
    </row>
    <row r="384" spans="1:21" x14ac:dyDescent="0.2">
      <c r="A384" s="31">
        <v>0.92005724800654265</v>
      </c>
      <c r="B384" s="46" t="s">
        <v>96</v>
      </c>
      <c r="C384" s="32">
        <v>0</v>
      </c>
      <c r="D384" s="32">
        <v>1</v>
      </c>
      <c r="E384" s="31">
        <v>0.50000000052480864</v>
      </c>
      <c r="F384" s="31">
        <v>0</v>
      </c>
      <c r="G384" s="31">
        <v>0</v>
      </c>
      <c r="H384" s="31">
        <v>0</v>
      </c>
      <c r="I384" s="48">
        <v>0</v>
      </c>
      <c r="J384" s="47" t="s">
        <v>97</v>
      </c>
      <c r="K384" s="32">
        <v>0</v>
      </c>
      <c r="L384" s="32">
        <v>1</v>
      </c>
      <c r="M384" s="31">
        <v>-0.50000000052480864</v>
      </c>
      <c r="N384" s="31">
        <v>0</v>
      </c>
      <c r="O384" s="31">
        <v>0</v>
      </c>
      <c r="P384" s="31">
        <v>0</v>
      </c>
      <c r="Q384" s="31">
        <v>0</v>
      </c>
      <c r="R384" s="31">
        <v>0</v>
      </c>
      <c r="S384" s="31">
        <v>0</v>
      </c>
      <c r="T384" s="31" t="s">
        <v>46</v>
      </c>
      <c r="U384" s="31" t="s">
        <v>46</v>
      </c>
    </row>
    <row r="385" spans="1:21" x14ac:dyDescent="0.2">
      <c r="A385" s="31">
        <v>0.94561439378450218</v>
      </c>
      <c r="B385" s="46" t="s">
        <v>98</v>
      </c>
      <c r="C385" s="32">
        <v>0</v>
      </c>
      <c r="D385" s="32">
        <v>1</v>
      </c>
      <c r="E385" s="31">
        <v>0.50000000052480864</v>
      </c>
      <c r="F385" s="31">
        <v>0</v>
      </c>
      <c r="G385" s="31">
        <v>0</v>
      </c>
      <c r="H385" s="31">
        <v>0</v>
      </c>
      <c r="I385" s="48">
        <v>0</v>
      </c>
      <c r="J385" s="47" t="s">
        <v>99</v>
      </c>
      <c r="K385" s="32">
        <v>0</v>
      </c>
      <c r="L385" s="32">
        <v>1</v>
      </c>
      <c r="M385" s="31">
        <v>-0.50000000052480864</v>
      </c>
      <c r="N385" s="31">
        <v>0</v>
      </c>
      <c r="O385" s="31">
        <v>0</v>
      </c>
      <c r="P385" s="31">
        <v>0</v>
      </c>
      <c r="Q385" s="31">
        <v>0</v>
      </c>
      <c r="R385" s="31">
        <v>0</v>
      </c>
      <c r="S385" s="31">
        <v>0</v>
      </c>
      <c r="T385" s="31" t="s">
        <v>46</v>
      </c>
      <c r="U385" s="31" t="s">
        <v>46</v>
      </c>
    </row>
    <row r="386" spans="1:21" x14ac:dyDescent="0.2">
      <c r="A386" s="31">
        <v>0.97117153956246172</v>
      </c>
      <c r="B386" s="46" t="s">
        <v>100</v>
      </c>
      <c r="C386" s="32">
        <v>0</v>
      </c>
      <c r="D386" s="32">
        <v>1</v>
      </c>
      <c r="E386" s="31">
        <v>0.50000000052480864</v>
      </c>
      <c r="F386" s="31">
        <v>0</v>
      </c>
      <c r="G386" s="31">
        <v>0</v>
      </c>
      <c r="H386" s="31">
        <v>0</v>
      </c>
      <c r="I386" s="48">
        <v>0</v>
      </c>
      <c r="J386" s="47" t="s">
        <v>101</v>
      </c>
      <c r="K386" s="32">
        <v>0</v>
      </c>
      <c r="L386" s="32">
        <v>1</v>
      </c>
      <c r="M386" s="31">
        <v>-0.50000000052480864</v>
      </c>
      <c r="N386" s="31">
        <v>0</v>
      </c>
      <c r="O386" s="31">
        <v>0</v>
      </c>
      <c r="P386" s="31">
        <v>0</v>
      </c>
      <c r="Q386" s="31">
        <v>0</v>
      </c>
      <c r="R386" s="31">
        <v>0</v>
      </c>
      <c r="S386" s="31">
        <v>0</v>
      </c>
      <c r="T386" s="31" t="s">
        <v>46</v>
      </c>
      <c r="U386" s="31" t="s">
        <v>46</v>
      </c>
    </row>
    <row r="387" spans="1:21" x14ac:dyDescent="0.2">
      <c r="A387" s="31">
        <v>0.99672868534042125</v>
      </c>
      <c r="B387" s="46" t="s">
        <v>102</v>
      </c>
      <c r="C387" s="32">
        <v>0</v>
      </c>
      <c r="D387" s="32">
        <v>1</v>
      </c>
      <c r="E387" s="31">
        <v>0.50000000052480864</v>
      </c>
      <c r="F387" s="31">
        <v>0</v>
      </c>
      <c r="G387" s="31">
        <v>0</v>
      </c>
      <c r="H387" s="31">
        <v>0</v>
      </c>
      <c r="I387" s="48">
        <v>0</v>
      </c>
      <c r="J387" s="47" t="s">
        <v>103</v>
      </c>
      <c r="K387" s="32">
        <v>0</v>
      </c>
      <c r="L387" s="32">
        <v>1</v>
      </c>
      <c r="M387" s="31">
        <v>-0.50000000052480864</v>
      </c>
      <c r="N387" s="31">
        <v>0</v>
      </c>
      <c r="O387" s="31">
        <v>0</v>
      </c>
      <c r="P387" s="31">
        <v>0</v>
      </c>
      <c r="Q387" s="31">
        <v>0</v>
      </c>
      <c r="R387" s="31">
        <v>0</v>
      </c>
      <c r="S387" s="31">
        <v>0</v>
      </c>
      <c r="T387" s="31" t="s">
        <v>46</v>
      </c>
      <c r="U387" s="31" t="s">
        <v>46</v>
      </c>
    </row>
    <row r="388" spans="1:21" x14ac:dyDescent="0.2">
      <c r="A388" s="31">
        <v>1.0222858311183807</v>
      </c>
      <c r="B388" s="46" t="s">
        <v>104</v>
      </c>
      <c r="C388" s="32">
        <v>0</v>
      </c>
      <c r="D388" s="32">
        <v>1</v>
      </c>
      <c r="E388" s="31">
        <v>0.50000000052480864</v>
      </c>
      <c r="F388" s="31">
        <v>0</v>
      </c>
      <c r="G388" s="31">
        <v>0</v>
      </c>
      <c r="H388" s="31">
        <v>0</v>
      </c>
      <c r="I388" s="31">
        <v>0</v>
      </c>
      <c r="J388" s="47" t="s">
        <v>105</v>
      </c>
      <c r="K388" s="32">
        <v>0</v>
      </c>
      <c r="L388" s="32">
        <v>1</v>
      </c>
      <c r="M388" s="31">
        <v>-0.50000000052480864</v>
      </c>
      <c r="N388" s="31">
        <v>0</v>
      </c>
      <c r="O388" s="31">
        <v>0</v>
      </c>
      <c r="P388" s="31">
        <v>0</v>
      </c>
      <c r="Q388" s="31">
        <v>0</v>
      </c>
      <c r="R388" s="31">
        <v>0</v>
      </c>
      <c r="S388" s="31">
        <v>0</v>
      </c>
      <c r="T388" s="31" t="s">
        <v>46</v>
      </c>
      <c r="U388" s="31" t="s">
        <v>46</v>
      </c>
    </row>
    <row r="389" spans="1:21" x14ac:dyDescent="0.2">
      <c r="A389" s="31">
        <v>1.0734001226742997</v>
      </c>
      <c r="B389" s="46" t="s">
        <v>106</v>
      </c>
      <c r="C389" s="32">
        <v>0</v>
      </c>
      <c r="D389" s="32">
        <v>1</v>
      </c>
      <c r="E389" s="31">
        <v>0.50000000052480864</v>
      </c>
      <c r="F389" s="31">
        <v>0</v>
      </c>
      <c r="G389" s="31">
        <v>0</v>
      </c>
      <c r="H389" s="31">
        <v>0</v>
      </c>
      <c r="I389" s="31">
        <v>0</v>
      </c>
      <c r="J389" s="47" t="s">
        <v>107</v>
      </c>
      <c r="K389" s="32">
        <v>0</v>
      </c>
      <c r="L389" s="32">
        <v>1</v>
      </c>
      <c r="M389" s="31">
        <v>-0.50000000052480864</v>
      </c>
      <c r="N389" s="31">
        <v>0</v>
      </c>
      <c r="O389" s="31">
        <v>0</v>
      </c>
      <c r="P389" s="31">
        <v>0</v>
      </c>
      <c r="Q389" s="31">
        <v>0</v>
      </c>
      <c r="R389" s="31">
        <v>0</v>
      </c>
      <c r="S389" s="31">
        <v>0</v>
      </c>
      <c r="T389" s="31" t="s">
        <v>46</v>
      </c>
      <c r="U389" s="31" t="s">
        <v>46</v>
      </c>
    </row>
    <row r="390" spans="1:21" x14ac:dyDescent="0.2">
      <c r="A390" s="31">
        <v>1.1245144142302188</v>
      </c>
      <c r="B390" s="46" t="s">
        <v>108</v>
      </c>
      <c r="C390" s="32">
        <v>0</v>
      </c>
      <c r="D390" s="32">
        <v>1</v>
      </c>
      <c r="E390" s="31">
        <v>0.50000000052480864</v>
      </c>
      <c r="F390" s="31">
        <v>0</v>
      </c>
      <c r="G390" s="31">
        <v>0</v>
      </c>
      <c r="H390" s="31">
        <v>0</v>
      </c>
      <c r="I390" s="31">
        <v>0</v>
      </c>
      <c r="J390" s="47" t="s">
        <v>109</v>
      </c>
      <c r="K390" s="32">
        <v>0</v>
      </c>
      <c r="L390" s="32">
        <v>1</v>
      </c>
      <c r="M390" s="31">
        <v>-0.50000000052480864</v>
      </c>
      <c r="N390" s="31">
        <v>0</v>
      </c>
      <c r="O390" s="31">
        <v>0</v>
      </c>
      <c r="P390" s="31">
        <v>0</v>
      </c>
      <c r="Q390" s="31">
        <v>0</v>
      </c>
      <c r="R390" s="31">
        <v>0</v>
      </c>
      <c r="S390" s="31">
        <v>0</v>
      </c>
      <c r="T390" s="31" t="s">
        <v>46</v>
      </c>
      <c r="U390" s="31" t="s">
        <v>46</v>
      </c>
    </row>
    <row r="391" spans="1:21" x14ac:dyDescent="0.2">
      <c r="A391" s="31">
        <v>1.1756287057861379</v>
      </c>
      <c r="B391" s="46" t="s">
        <v>110</v>
      </c>
      <c r="C391" s="32">
        <v>0</v>
      </c>
      <c r="D391" s="32">
        <v>1</v>
      </c>
      <c r="E391" s="31">
        <v>0.50000000052480864</v>
      </c>
      <c r="F391" s="31">
        <v>0</v>
      </c>
      <c r="G391" s="31">
        <v>0</v>
      </c>
      <c r="H391" s="31">
        <v>0</v>
      </c>
      <c r="I391" s="31">
        <v>0</v>
      </c>
      <c r="J391" s="47" t="s">
        <v>111</v>
      </c>
      <c r="K391" s="32">
        <v>0</v>
      </c>
      <c r="L391" s="32">
        <v>1</v>
      </c>
      <c r="M391" s="31">
        <v>-0.50000000052480864</v>
      </c>
      <c r="N391" s="31">
        <v>0</v>
      </c>
      <c r="O391" s="31">
        <v>0</v>
      </c>
      <c r="P391" s="31">
        <v>0</v>
      </c>
      <c r="Q391" s="31">
        <v>0</v>
      </c>
      <c r="R391" s="31">
        <v>0</v>
      </c>
      <c r="S391" s="31">
        <v>0</v>
      </c>
      <c r="T391" s="31" t="s">
        <v>46</v>
      </c>
      <c r="U391" s="31" t="s">
        <v>46</v>
      </c>
    </row>
    <row r="392" spans="1:21" x14ac:dyDescent="0.2">
      <c r="A392" s="31">
        <v>1.2267429973420569</v>
      </c>
      <c r="B392" s="46" t="s">
        <v>112</v>
      </c>
      <c r="C392" s="32">
        <v>0</v>
      </c>
      <c r="D392" s="32">
        <v>1</v>
      </c>
      <c r="E392" s="31">
        <v>0.50000000052480864</v>
      </c>
      <c r="F392" s="31">
        <v>0</v>
      </c>
      <c r="G392" s="31">
        <v>0</v>
      </c>
      <c r="H392" s="31">
        <v>0</v>
      </c>
      <c r="I392" s="31">
        <v>0</v>
      </c>
      <c r="J392" s="47" t="s">
        <v>113</v>
      </c>
      <c r="K392" s="32">
        <v>0</v>
      </c>
      <c r="L392" s="32">
        <v>1</v>
      </c>
      <c r="M392" s="31">
        <v>-0.50000000052480864</v>
      </c>
      <c r="N392" s="31">
        <v>0</v>
      </c>
      <c r="O392" s="31">
        <v>0</v>
      </c>
      <c r="P392" s="31">
        <v>0</v>
      </c>
      <c r="Q392" s="31">
        <v>0</v>
      </c>
      <c r="R392" s="31">
        <v>0</v>
      </c>
      <c r="S392" s="31">
        <v>0</v>
      </c>
      <c r="T392" s="31" t="s">
        <v>46</v>
      </c>
      <c r="U392" s="31" t="s">
        <v>46</v>
      </c>
    </row>
    <row r="393" spans="1:21" x14ac:dyDescent="0.2">
      <c r="A393" s="31">
        <v>1.277857288897976</v>
      </c>
      <c r="B393" s="46" t="s">
        <v>114</v>
      </c>
      <c r="C393" s="32">
        <v>0</v>
      </c>
      <c r="D393" s="32">
        <v>1</v>
      </c>
      <c r="E393" s="31">
        <v>0.50000000052480864</v>
      </c>
      <c r="F393" s="31">
        <v>0</v>
      </c>
      <c r="G393" s="31">
        <v>0</v>
      </c>
      <c r="H393" s="31">
        <v>0</v>
      </c>
      <c r="I393" s="31">
        <v>0</v>
      </c>
      <c r="J393" s="47" t="s">
        <v>115</v>
      </c>
      <c r="K393" s="32">
        <v>0</v>
      </c>
      <c r="L393" s="32">
        <v>1</v>
      </c>
      <c r="M393" s="31">
        <v>-0.50000000052480864</v>
      </c>
      <c r="N393" s="31">
        <v>0</v>
      </c>
      <c r="O393" s="31">
        <v>0</v>
      </c>
      <c r="P393" s="31">
        <v>0</v>
      </c>
      <c r="Q393" s="31">
        <v>0</v>
      </c>
      <c r="R393" s="31">
        <v>0</v>
      </c>
      <c r="S393" s="31">
        <v>0</v>
      </c>
      <c r="T393" s="31" t="s">
        <v>46</v>
      </c>
      <c r="U393" s="31" t="s">
        <v>46</v>
      </c>
    </row>
    <row r="394" spans="1:21" x14ac:dyDescent="0.2">
      <c r="A394" s="31">
        <v>1.3289715804538951</v>
      </c>
      <c r="B394" s="46" t="s">
        <v>116</v>
      </c>
      <c r="C394" s="32">
        <v>0</v>
      </c>
      <c r="D394" s="32">
        <v>1</v>
      </c>
      <c r="E394" s="31">
        <v>0.50000000052480864</v>
      </c>
      <c r="F394" s="31">
        <v>0</v>
      </c>
      <c r="G394" s="31">
        <v>0</v>
      </c>
      <c r="H394" s="31">
        <v>0</v>
      </c>
      <c r="I394" s="31">
        <v>0</v>
      </c>
      <c r="J394" s="47" t="s">
        <v>117</v>
      </c>
      <c r="K394" s="32">
        <v>0</v>
      </c>
      <c r="L394" s="32">
        <v>1</v>
      </c>
      <c r="M394" s="31">
        <v>-0.50000000052480864</v>
      </c>
      <c r="N394" s="31">
        <v>0</v>
      </c>
      <c r="O394" s="31">
        <v>0</v>
      </c>
      <c r="P394" s="31">
        <v>0</v>
      </c>
      <c r="Q394" s="31">
        <v>0</v>
      </c>
      <c r="R394" s="31">
        <v>0</v>
      </c>
      <c r="S394" s="31">
        <v>0</v>
      </c>
      <c r="T394" s="31" t="s">
        <v>46</v>
      </c>
      <c r="U394" s="31" t="s">
        <v>46</v>
      </c>
    </row>
    <row r="395" spans="1:21" x14ac:dyDescent="0.2">
      <c r="A395" s="31">
        <v>1.3800858720098141</v>
      </c>
      <c r="B395" s="46" t="s">
        <v>118</v>
      </c>
      <c r="C395" s="32">
        <v>0</v>
      </c>
      <c r="D395" s="32">
        <v>1</v>
      </c>
      <c r="E395" s="31">
        <v>0.50000000052480864</v>
      </c>
      <c r="F395" s="31">
        <v>0</v>
      </c>
      <c r="G395" s="31">
        <v>0</v>
      </c>
      <c r="H395" s="31">
        <v>0</v>
      </c>
      <c r="I395" s="31">
        <v>0</v>
      </c>
      <c r="J395" s="47" t="s">
        <v>119</v>
      </c>
      <c r="K395" s="32">
        <v>0</v>
      </c>
      <c r="L395" s="32">
        <v>1</v>
      </c>
      <c r="M395" s="31">
        <v>-0.50000000052480864</v>
      </c>
      <c r="N395" s="31">
        <v>0</v>
      </c>
      <c r="O395" s="31">
        <v>0</v>
      </c>
      <c r="P395" s="31">
        <v>0</v>
      </c>
      <c r="Q395" s="31">
        <v>0</v>
      </c>
      <c r="R395" s="31">
        <v>0</v>
      </c>
      <c r="S395" s="31">
        <v>0</v>
      </c>
      <c r="T395" s="31" t="s">
        <v>46</v>
      </c>
      <c r="U395" s="31" t="s">
        <v>46</v>
      </c>
    </row>
    <row r="396" spans="1:21" x14ac:dyDescent="0.2">
      <c r="A396" s="31">
        <v>1.431200163565733</v>
      </c>
      <c r="B396" s="46" t="s">
        <v>120</v>
      </c>
      <c r="C396" s="32">
        <v>0</v>
      </c>
      <c r="D396" s="32">
        <v>1</v>
      </c>
      <c r="E396" s="31">
        <v>0.50000000052480864</v>
      </c>
      <c r="F396" s="31">
        <v>0</v>
      </c>
      <c r="G396" s="31">
        <v>0</v>
      </c>
      <c r="H396" s="31">
        <v>0</v>
      </c>
      <c r="I396" s="31">
        <v>0</v>
      </c>
      <c r="J396" s="47" t="s">
        <v>121</v>
      </c>
      <c r="K396" s="32">
        <v>0</v>
      </c>
      <c r="L396" s="32">
        <v>1</v>
      </c>
      <c r="M396" s="31">
        <v>-0.50000000052480864</v>
      </c>
      <c r="N396" s="31">
        <v>0</v>
      </c>
      <c r="O396" s="31">
        <v>0</v>
      </c>
      <c r="P396" s="31">
        <v>0</v>
      </c>
      <c r="Q396" s="31">
        <v>0</v>
      </c>
      <c r="R396" s="31">
        <v>0</v>
      </c>
      <c r="S396" s="31">
        <v>0</v>
      </c>
      <c r="T396" s="31" t="s">
        <v>46</v>
      </c>
      <c r="U396" s="31" t="s">
        <v>46</v>
      </c>
    </row>
    <row r="397" spans="1:21" x14ac:dyDescent="0.2">
      <c r="A397" s="31">
        <v>1.4823144551216521</v>
      </c>
      <c r="B397" s="46" t="s">
        <v>122</v>
      </c>
      <c r="C397" s="32">
        <v>0</v>
      </c>
      <c r="D397" s="32">
        <v>1</v>
      </c>
      <c r="E397" s="31">
        <v>0.50000000052480864</v>
      </c>
      <c r="F397" s="31">
        <v>0</v>
      </c>
      <c r="G397" s="31">
        <v>0</v>
      </c>
      <c r="H397" s="31">
        <v>0</v>
      </c>
      <c r="I397" s="31">
        <v>0</v>
      </c>
      <c r="J397" s="47" t="s">
        <v>123</v>
      </c>
      <c r="K397" s="32">
        <v>0</v>
      </c>
      <c r="L397" s="32">
        <v>1</v>
      </c>
      <c r="M397" s="31">
        <v>-0.50000000052480864</v>
      </c>
      <c r="N397" s="31">
        <v>0</v>
      </c>
      <c r="O397" s="31">
        <v>0</v>
      </c>
      <c r="P397" s="31">
        <v>0</v>
      </c>
      <c r="Q397" s="31">
        <v>0</v>
      </c>
      <c r="R397" s="31">
        <v>0</v>
      </c>
      <c r="S397" s="31">
        <v>0</v>
      </c>
      <c r="T397" s="31" t="s">
        <v>46</v>
      </c>
      <c r="U397" s="31" t="s">
        <v>46</v>
      </c>
    </row>
    <row r="398" spans="1:21" x14ac:dyDescent="0.2">
      <c r="A398" s="31">
        <v>1.5334287466775711</v>
      </c>
      <c r="B398" s="46" t="s">
        <v>124</v>
      </c>
      <c r="C398" s="32">
        <v>0</v>
      </c>
      <c r="D398" s="32">
        <v>1</v>
      </c>
      <c r="E398" s="31">
        <v>0.50000000052480864</v>
      </c>
      <c r="F398" s="31">
        <v>0</v>
      </c>
      <c r="G398" s="31">
        <v>0</v>
      </c>
      <c r="H398" s="31">
        <v>0</v>
      </c>
      <c r="I398" s="31">
        <v>0</v>
      </c>
      <c r="J398" s="47" t="s">
        <v>125</v>
      </c>
      <c r="K398" s="32">
        <v>0</v>
      </c>
      <c r="L398" s="32">
        <v>1</v>
      </c>
      <c r="M398" s="31">
        <v>-0.50000000052480864</v>
      </c>
      <c r="N398" s="31">
        <v>0</v>
      </c>
      <c r="O398" s="31">
        <v>0</v>
      </c>
      <c r="P398" s="31">
        <v>0</v>
      </c>
      <c r="Q398" s="31">
        <v>0</v>
      </c>
      <c r="R398" s="31">
        <v>0</v>
      </c>
      <c r="S398" s="31">
        <v>0</v>
      </c>
      <c r="T398" s="31" t="s">
        <v>46</v>
      </c>
      <c r="U398" s="31" t="s">
        <v>46</v>
      </c>
    </row>
    <row r="399" spans="1:21" x14ac:dyDescent="0.2">
      <c r="A399" s="31">
        <v>1.5845430382334902</v>
      </c>
      <c r="B399" s="46" t="s">
        <v>126</v>
      </c>
      <c r="C399" s="32">
        <v>0</v>
      </c>
      <c r="D399" s="32">
        <v>1</v>
      </c>
      <c r="E399" s="31">
        <v>0.50000000052480864</v>
      </c>
      <c r="F399" s="31">
        <v>0</v>
      </c>
      <c r="G399" s="31">
        <v>0</v>
      </c>
      <c r="H399" s="31">
        <v>0</v>
      </c>
      <c r="I399" s="31">
        <v>0</v>
      </c>
      <c r="J399" s="47" t="s">
        <v>127</v>
      </c>
      <c r="K399" s="32">
        <v>0</v>
      </c>
      <c r="L399" s="32">
        <v>1</v>
      </c>
      <c r="M399" s="31">
        <v>-0.50000000052480864</v>
      </c>
      <c r="N399" s="31">
        <v>0</v>
      </c>
      <c r="O399" s="31">
        <v>0</v>
      </c>
      <c r="P399" s="31">
        <v>0</v>
      </c>
      <c r="Q399" s="31">
        <v>0</v>
      </c>
      <c r="R399" s="31">
        <v>0</v>
      </c>
      <c r="S399" s="31">
        <v>0</v>
      </c>
      <c r="T399" s="31" t="s">
        <v>46</v>
      </c>
      <c r="U399" s="31" t="s">
        <v>46</v>
      </c>
    </row>
    <row r="400" spans="1:21" x14ac:dyDescent="0.2">
      <c r="A400" s="31">
        <v>1.6356573297894093</v>
      </c>
      <c r="B400" s="46" t="s">
        <v>128</v>
      </c>
      <c r="C400" s="32">
        <v>0</v>
      </c>
      <c r="D400" s="32">
        <v>1</v>
      </c>
      <c r="E400" s="31">
        <v>0.50000000052480864</v>
      </c>
      <c r="F400" s="31">
        <v>0</v>
      </c>
      <c r="G400" s="31">
        <v>0</v>
      </c>
      <c r="H400" s="31">
        <v>0</v>
      </c>
      <c r="I400" s="31">
        <v>0</v>
      </c>
      <c r="J400" s="47" t="s">
        <v>129</v>
      </c>
      <c r="K400" s="32">
        <v>0</v>
      </c>
      <c r="L400" s="32">
        <v>1</v>
      </c>
      <c r="M400" s="31">
        <v>-0.50000000052480864</v>
      </c>
      <c r="N400" s="31">
        <v>0</v>
      </c>
      <c r="O400" s="31">
        <v>0</v>
      </c>
      <c r="P400" s="31">
        <v>0</v>
      </c>
      <c r="Q400" s="31">
        <v>0</v>
      </c>
      <c r="R400" s="31">
        <v>0</v>
      </c>
      <c r="S400" s="31">
        <v>0</v>
      </c>
      <c r="T400" s="31" t="s">
        <v>46</v>
      </c>
      <c r="U400" s="31" t="s">
        <v>46</v>
      </c>
    </row>
    <row r="401" spans="1:21" x14ac:dyDescent="0.2">
      <c r="A401" s="31">
        <v>1.6867716213453283</v>
      </c>
      <c r="B401" s="46" t="s">
        <v>130</v>
      </c>
      <c r="C401" s="32">
        <v>0</v>
      </c>
      <c r="D401" s="32">
        <v>1</v>
      </c>
      <c r="E401" s="31">
        <v>0.50000000052480864</v>
      </c>
      <c r="F401" s="31">
        <v>0</v>
      </c>
      <c r="G401" s="31">
        <v>0</v>
      </c>
      <c r="H401" s="31">
        <v>0</v>
      </c>
      <c r="I401" s="31">
        <v>0</v>
      </c>
      <c r="J401" s="47" t="s">
        <v>131</v>
      </c>
      <c r="K401" s="32">
        <v>0</v>
      </c>
      <c r="L401" s="32">
        <v>1</v>
      </c>
      <c r="M401" s="31">
        <v>-0.50000000052480864</v>
      </c>
      <c r="N401" s="31">
        <v>0</v>
      </c>
      <c r="O401" s="31">
        <v>0</v>
      </c>
      <c r="P401" s="31">
        <v>0</v>
      </c>
      <c r="Q401" s="31">
        <v>0</v>
      </c>
      <c r="R401" s="31">
        <v>0</v>
      </c>
      <c r="S401" s="31">
        <v>0</v>
      </c>
      <c r="T401" s="31" t="s">
        <v>46</v>
      </c>
      <c r="U401" s="31" t="s">
        <v>46</v>
      </c>
    </row>
    <row r="402" spans="1:21" x14ac:dyDescent="0.2">
      <c r="A402" s="31">
        <v>1.7378859129012474</v>
      </c>
      <c r="B402" s="46" t="s">
        <v>132</v>
      </c>
      <c r="C402" s="32">
        <v>0</v>
      </c>
      <c r="D402" s="32">
        <v>1</v>
      </c>
      <c r="E402" s="31">
        <v>0.50000000052480864</v>
      </c>
      <c r="F402" s="31">
        <v>0</v>
      </c>
      <c r="G402" s="31">
        <v>0</v>
      </c>
      <c r="H402" s="31">
        <v>0</v>
      </c>
      <c r="I402" s="31">
        <v>0</v>
      </c>
      <c r="J402" s="47" t="s">
        <v>133</v>
      </c>
      <c r="K402" s="32">
        <v>0</v>
      </c>
      <c r="L402" s="32">
        <v>1</v>
      </c>
      <c r="M402" s="31">
        <v>-0.50000000052480864</v>
      </c>
      <c r="N402" s="31">
        <v>0</v>
      </c>
      <c r="O402" s="31">
        <v>0</v>
      </c>
      <c r="P402" s="31">
        <v>0</v>
      </c>
      <c r="Q402" s="31">
        <v>0</v>
      </c>
      <c r="R402" s="31">
        <v>0</v>
      </c>
      <c r="S402" s="31">
        <v>0</v>
      </c>
      <c r="T402" s="31" t="s">
        <v>46</v>
      </c>
      <c r="U402" s="31" t="s">
        <v>46</v>
      </c>
    </row>
    <row r="403" spans="1:21" x14ac:dyDescent="0.2">
      <c r="A403" s="31">
        <v>1.7890002044571665</v>
      </c>
      <c r="B403" s="46" t="s">
        <v>134</v>
      </c>
      <c r="C403" s="32">
        <v>0</v>
      </c>
      <c r="D403" s="32">
        <v>1</v>
      </c>
      <c r="E403" s="31">
        <v>0.50000000052480864</v>
      </c>
      <c r="F403" s="31">
        <v>0</v>
      </c>
      <c r="G403" s="31">
        <v>0</v>
      </c>
      <c r="H403" s="31">
        <v>0</v>
      </c>
      <c r="I403" s="31">
        <v>0</v>
      </c>
      <c r="J403" s="47" t="s">
        <v>135</v>
      </c>
      <c r="K403" s="32">
        <v>0</v>
      </c>
      <c r="L403" s="32">
        <v>1</v>
      </c>
      <c r="M403" s="31">
        <v>-0.50000000052480864</v>
      </c>
      <c r="N403" s="31">
        <v>0</v>
      </c>
      <c r="O403" s="31">
        <v>0</v>
      </c>
      <c r="P403" s="31">
        <v>0</v>
      </c>
      <c r="Q403" s="31">
        <v>0</v>
      </c>
      <c r="R403" s="31">
        <v>0</v>
      </c>
      <c r="S403" s="31">
        <v>0</v>
      </c>
      <c r="T403" s="31" t="s">
        <v>46</v>
      </c>
      <c r="U403" s="31" t="s">
        <v>46</v>
      </c>
    </row>
    <row r="404" spans="1:21" x14ac:dyDescent="0.2">
      <c r="A404" s="31">
        <v>1.8401144960130853</v>
      </c>
      <c r="B404" s="46" t="s">
        <v>136</v>
      </c>
      <c r="C404" s="32">
        <v>0</v>
      </c>
      <c r="D404" s="32">
        <v>1</v>
      </c>
      <c r="E404" s="31">
        <v>0.50000000052480864</v>
      </c>
      <c r="F404" s="31">
        <v>0</v>
      </c>
      <c r="G404" s="31">
        <v>0</v>
      </c>
      <c r="H404" s="31">
        <v>0</v>
      </c>
      <c r="I404" s="31">
        <v>0</v>
      </c>
      <c r="J404" s="47" t="s">
        <v>137</v>
      </c>
      <c r="K404" s="32">
        <v>0</v>
      </c>
      <c r="L404" s="32">
        <v>1</v>
      </c>
      <c r="M404" s="31">
        <v>-0.50000000052480864</v>
      </c>
      <c r="N404" s="31">
        <v>0</v>
      </c>
      <c r="O404" s="31">
        <v>0</v>
      </c>
      <c r="P404" s="31">
        <v>0</v>
      </c>
      <c r="Q404" s="31">
        <v>0</v>
      </c>
      <c r="R404" s="31">
        <v>0</v>
      </c>
      <c r="S404" s="31">
        <v>0</v>
      </c>
      <c r="T404" s="31" t="s">
        <v>46</v>
      </c>
      <c r="U404" s="31" t="s">
        <v>46</v>
      </c>
    </row>
    <row r="405" spans="1:21" x14ac:dyDescent="0.2">
      <c r="A405" s="31">
        <v>1.8912287875690044</v>
      </c>
      <c r="B405" s="46" t="s">
        <v>138</v>
      </c>
      <c r="C405" s="32">
        <v>3.0000499999999999</v>
      </c>
      <c r="D405" s="32">
        <v>1</v>
      </c>
      <c r="E405" s="31">
        <v>0.50000000052480864</v>
      </c>
      <c r="F405" s="31">
        <v>0</v>
      </c>
      <c r="G405" s="31">
        <v>0</v>
      </c>
      <c r="H405" s="31">
        <v>0</v>
      </c>
      <c r="I405" s="31">
        <v>0</v>
      </c>
      <c r="J405" s="47" t="s">
        <v>139</v>
      </c>
      <c r="K405" s="32">
        <v>0</v>
      </c>
      <c r="L405" s="32">
        <v>1</v>
      </c>
      <c r="M405" s="31">
        <v>-0.50000000052480864</v>
      </c>
      <c r="N405" s="31">
        <v>0</v>
      </c>
      <c r="O405" s="31">
        <v>0</v>
      </c>
      <c r="P405" s="31">
        <v>0</v>
      </c>
      <c r="Q405" s="31">
        <v>0</v>
      </c>
      <c r="R405" s="31">
        <v>0</v>
      </c>
      <c r="S405" s="31">
        <v>0</v>
      </c>
      <c r="T405" s="31" t="s">
        <v>46</v>
      </c>
      <c r="U405" s="31" t="s">
        <v>46</v>
      </c>
    </row>
    <row r="406" spans="1:21" x14ac:dyDescent="0.2">
      <c r="A406" s="31">
        <v>1.9423430791249234</v>
      </c>
      <c r="B406" s="46" t="s">
        <v>140</v>
      </c>
      <c r="C406" s="32">
        <v>3.0000499999999999</v>
      </c>
      <c r="D406" s="32">
        <v>1</v>
      </c>
      <c r="E406" s="31">
        <v>0.50000000052480864</v>
      </c>
      <c r="F406" s="31">
        <v>0</v>
      </c>
      <c r="G406" s="31">
        <v>0</v>
      </c>
      <c r="H406" s="31">
        <v>0</v>
      </c>
      <c r="I406" s="31">
        <v>0</v>
      </c>
      <c r="J406" s="47" t="s">
        <v>141</v>
      </c>
      <c r="K406" s="32">
        <v>0</v>
      </c>
      <c r="L406" s="32">
        <v>1</v>
      </c>
      <c r="M406" s="31">
        <v>-0.50000000052480864</v>
      </c>
      <c r="N406" s="31">
        <v>0</v>
      </c>
      <c r="O406" s="31">
        <v>0</v>
      </c>
      <c r="P406" s="31">
        <v>0</v>
      </c>
      <c r="Q406" s="31">
        <v>0</v>
      </c>
      <c r="R406" s="31">
        <v>0</v>
      </c>
      <c r="S406" s="31">
        <v>0</v>
      </c>
      <c r="T406" s="31" t="s">
        <v>46</v>
      </c>
      <c r="U406" s="31" t="s">
        <v>46</v>
      </c>
    </row>
    <row r="407" spans="1:21" x14ac:dyDescent="0.2">
      <c r="A407" s="31">
        <v>1.9934573706808425</v>
      </c>
      <c r="B407" s="46" t="s">
        <v>142</v>
      </c>
      <c r="C407" s="32">
        <v>3.0000499999999999</v>
      </c>
      <c r="D407" s="32">
        <v>1</v>
      </c>
      <c r="E407" s="31">
        <v>0.50000000052480864</v>
      </c>
      <c r="F407" s="31">
        <v>0</v>
      </c>
      <c r="G407" s="31">
        <v>0</v>
      </c>
      <c r="H407" s="31">
        <v>0</v>
      </c>
      <c r="I407" s="31">
        <v>0</v>
      </c>
      <c r="J407" s="47" t="s">
        <v>143</v>
      </c>
      <c r="K407" s="32">
        <v>0</v>
      </c>
      <c r="L407" s="32">
        <v>1</v>
      </c>
      <c r="M407" s="31">
        <v>-0.50000000052480864</v>
      </c>
      <c r="N407" s="31">
        <v>0</v>
      </c>
      <c r="O407" s="31">
        <v>0</v>
      </c>
      <c r="P407" s="31">
        <v>0</v>
      </c>
      <c r="Q407" s="31">
        <v>0</v>
      </c>
      <c r="R407" s="31">
        <v>0</v>
      </c>
      <c r="S407" s="31">
        <v>0</v>
      </c>
      <c r="T407" s="31" t="s">
        <v>46</v>
      </c>
      <c r="U407" s="31" t="s">
        <v>46</v>
      </c>
    </row>
    <row r="408" spans="1:21" x14ac:dyDescent="0.2">
      <c r="A408" s="31">
        <v>0.15334287466775712</v>
      </c>
      <c r="B408" s="46" t="s">
        <v>144</v>
      </c>
      <c r="C408" s="32">
        <v>0</v>
      </c>
      <c r="D408" s="32">
        <v>1</v>
      </c>
      <c r="E408" s="31">
        <v>0.50000000052480864</v>
      </c>
      <c r="F408" s="31">
        <v>0</v>
      </c>
      <c r="G408" s="31">
        <v>0</v>
      </c>
      <c r="H408" s="31">
        <v>0</v>
      </c>
      <c r="I408" s="31">
        <v>0</v>
      </c>
      <c r="J408" s="47" t="s">
        <v>145</v>
      </c>
      <c r="K408" s="32">
        <v>3.0000499999999999</v>
      </c>
      <c r="L408" s="32">
        <v>1</v>
      </c>
      <c r="M408" s="31">
        <v>-0.50000000052480864</v>
      </c>
      <c r="N408" s="31">
        <v>0</v>
      </c>
      <c r="O408" s="31">
        <v>0</v>
      </c>
      <c r="P408" s="31">
        <v>0</v>
      </c>
      <c r="Q408" s="31">
        <v>0</v>
      </c>
      <c r="R408" s="31">
        <v>0</v>
      </c>
      <c r="S408" s="31">
        <v>0</v>
      </c>
      <c r="T408" s="31" t="s">
        <v>46</v>
      </c>
      <c r="U408" s="31" t="s">
        <v>46</v>
      </c>
    </row>
    <row r="409" spans="1:21" x14ac:dyDescent="0.2">
      <c r="A409" s="31">
        <v>0.20445716622367616</v>
      </c>
      <c r="B409" s="46" t="s">
        <v>146</v>
      </c>
      <c r="C409" s="32">
        <v>0</v>
      </c>
      <c r="D409" s="32">
        <v>1</v>
      </c>
      <c r="E409" s="31">
        <v>0.50000000052480864</v>
      </c>
      <c r="F409" s="31">
        <v>0</v>
      </c>
      <c r="G409" s="31">
        <v>0</v>
      </c>
      <c r="H409" s="31">
        <v>0</v>
      </c>
      <c r="I409" s="31">
        <v>0</v>
      </c>
      <c r="J409" s="47" t="s">
        <v>147</v>
      </c>
      <c r="K409" s="32">
        <v>3.0000499999999999</v>
      </c>
      <c r="L409" s="32">
        <v>1</v>
      </c>
      <c r="M409" s="31">
        <v>-0.50000000052480864</v>
      </c>
      <c r="N409" s="31">
        <v>0</v>
      </c>
      <c r="O409" s="31">
        <v>0</v>
      </c>
      <c r="P409" s="31">
        <v>0</v>
      </c>
      <c r="Q409" s="31">
        <v>0</v>
      </c>
      <c r="R409" s="31">
        <v>0</v>
      </c>
      <c r="S409" s="31">
        <v>0</v>
      </c>
      <c r="T409" s="31" t="s">
        <v>46</v>
      </c>
      <c r="U409" s="31" t="s">
        <v>46</v>
      </c>
    </row>
    <row r="410" spans="1:21" x14ac:dyDescent="0.2">
      <c r="A410" s="31">
        <v>0.23001431200163566</v>
      </c>
      <c r="B410" s="46" t="s">
        <v>148</v>
      </c>
      <c r="C410" s="32">
        <v>3.0000499999999999</v>
      </c>
      <c r="D410" s="32">
        <v>1</v>
      </c>
      <c r="E410" s="31">
        <v>0.50000000052480864</v>
      </c>
      <c r="F410" s="31">
        <v>0</v>
      </c>
      <c r="G410" s="31">
        <v>0</v>
      </c>
      <c r="H410" s="31">
        <v>0</v>
      </c>
      <c r="I410" s="31">
        <v>0</v>
      </c>
      <c r="J410" s="47" t="s">
        <v>149</v>
      </c>
      <c r="K410" s="32">
        <v>3.0000499999999999</v>
      </c>
      <c r="L410" s="32">
        <v>1</v>
      </c>
      <c r="M410" s="31">
        <v>-0.50000000052480864</v>
      </c>
      <c r="N410" s="31">
        <v>0</v>
      </c>
      <c r="O410" s="31">
        <v>0</v>
      </c>
      <c r="P410" s="31">
        <v>0</v>
      </c>
      <c r="Q410" s="31">
        <v>0</v>
      </c>
      <c r="R410" s="31">
        <v>0</v>
      </c>
      <c r="S410" s="31">
        <v>0</v>
      </c>
      <c r="T410" s="31" t="s">
        <v>47</v>
      </c>
      <c r="U410" s="31" t="s">
        <v>46</v>
      </c>
    </row>
    <row r="411" spans="1:21" x14ac:dyDescent="0.2">
      <c r="A411" s="31">
        <v>0.25557145777959517</v>
      </c>
      <c r="B411" s="46" t="s">
        <v>150</v>
      </c>
      <c r="C411" s="32">
        <v>3.0000499999999999</v>
      </c>
      <c r="D411" s="32">
        <v>1</v>
      </c>
      <c r="E411" s="31">
        <v>0.50000000052480864</v>
      </c>
      <c r="F411" s="31">
        <v>0</v>
      </c>
      <c r="G411" s="31">
        <v>0</v>
      </c>
      <c r="H411" s="31">
        <v>0</v>
      </c>
      <c r="I411" s="31">
        <v>0</v>
      </c>
      <c r="J411" s="47" t="s">
        <v>151</v>
      </c>
      <c r="K411" s="32">
        <v>3.0000499999999999</v>
      </c>
      <c r="L411" s="32">
        <v>1</v>
      </c>
      <c r="M411" s="31">
        <v>-0.50000000052480864</v>
      </c>
      <c r="N411" s="31">
        <v>0</v>
      </c>
      <c r="O411" s="31">
        <v>0</v>
      </c>
      <c r="P411" s="31">
        <v>0</v>
      </c>
      <c r="Q411" s="31">
        <v>0</v>
      </c>
      <c r="R411" s="31">
        <v>0</v>
      </c>
      <c r="S411" s="31">
        <v>0</v>
      </c>
      <c r="T411" s="31" t="s">
        <v>47</v>
      </c>
      <c r="U411" s="31" t="s">
        <v>46</v>
      </c>
    </row>
    <row r="412" spans="1:21" x14ac:dyDescent="0.2">
      <c r="A412" s="31">
        <v>0.30668574933551424</v>
      </c>
      <c r="B412" s="46" t="s">
        <v>152</v>
      </c>
      <c r="C412" s="32">
        <v>3.0000499999999999</v>
      </c>
      <c r="D412" s="32">
        <v>1</v>
      </c>
      <c r="E412" s="31">
        <v>0.50000000052480864</v>
      </c>
      <c r="F412" s="31">
        <v>0</v>
      </c>
      <c r="G412" s="31">
        <v>0</v>
      </c>
      <c r="H412" s="31">
        <v>0</v>
      </c>
      <c r="I412" s="31">
        <v>0</v>
      </c>
      <c r="J412" s="47" t="s">
        <v>153</v>
      </c>
      <c r="K412" s="32">
        <v>0</v>
      </c>
      <c r="L412" s="32">
        <v>1</v>
      </c>
      <c r="M412" s="31">
        <v>-0.50000000052480864</v>
      </c>
      <c r="N412" s="31">
        <v>0</v>
      </c>
      <c r="O412" s="31">
        <v>0</v>
      </c>
      <c r="P412" s="31">
        <v>0</v>
      </c>
      <c r="Q412" s="31">
        <v>0</v>
      </c>
      <c r="R412" s="31">
        <v>0</v>
      </c>
      <c r="S412" s="31">
        <v>0</v>
      </c>
      <c r="T412" s="31" t="s">
        <v>47</v>
      </c>
      <c r="U412" s="31" t="s">
        <v>46</v>
      </c>
    </row>
    <row r="413" spans="1:21" x14ac:dyDescent="0.2">
      <c r="A413" s="31">
        <v>0.35780004089143325</v>
      </c>
      <c r="B413" s="46" t="s">
        <v>154</v>
      </c>
      <c r="C413" s="32">
        <v>3.0000499999999999</v>
      </c>
      <c r="D413" s="32">
        <v>1</v>
      </c>
      <c r="E413" s="31">
        <v>0.50000000052480864</v>
      </c>
      <c r="F413" s="31">
        <v>0</v>
      </c>
      <c r="G413" s="31">
        <v>0</v>
      </c>
      <c r="H413" s="31">
        <v>0</v>
      </c>
      <c r="I413" s="31">
        <v>0</v>
      </c>
      <c r="J413" s="47" t="s">
        <v>155</v>
      </c>
      <c r="K413" s="32">
        <v>0</v>
      </c>
      <c r="L413" s="32">
        <v>1</v>
      </c>
      <c r="M413" s="31">
        <v>-0.50000000052480864</v>
      </c>
      <c r="N413" s="31">
        <v>0</v>
      </c>
      <c r="O413" s="31">
        <v>0</v>
      </c>
      <c r="P413" s="31">
        <v>0</v>
      </c>
      <c r="Q413" s="31">
        <v>0</v>
      </c>
      <c r="R413" s="31">
        <v>0</v>
      </c>
      <c r="S413" s="31">
        <v>0</v>
      </c>
      <c r="T413" s="31" t="s">
        <v>47</v>
      </c>
      <c r="U413" s="31" t="s">
        <v>46</v>
      </c>
    </row>
    <row r="414" spans="1:21" x14ac:dyDescent="0.2">
      <c r="A414" s="31">
        <v>0.40891433244735231</v>
      </c>
      <c r="B414" s="46" t="s">
        <v>156</v>
      </c>
      <c r="C414" s="32">
        <v>0</v>
      </c>
      <c r="D414" s="32">
        <v>1</v>
      </c>
      <c r="E414" s="31">
        <v>0.50000000052480864</v>
      </c>
      <c r="F414" s="31">
        <v>0</v>
      </c>
      <c r="G414" s="31">
        <v>0</v>
      </c>
      <c r="H414" s="31">
        <v>0</v>
      </c>
      <c r="I414" s="31">
        <v>0</v>
      </c>
      <c r="J414" s="47" t="s">
        <v>157</v>
      </c>
      <c r="K414" s="32">
        <v>0</v>
      </c>
      <c r="L414" s="32">
        <v>1</v>
      </c>
      <c r="M414" s="31">
        <v>-0.50000000052480864</v>
      </c>
      <c r="N414" s="31">
        <v>0</v>
      </c>
      <c r="O414" s="31">
        <v>0</v>
      </c>
      <c r="P414" s="31">
        <v>0</v>
      </c>
      <c r="Q414" s="31">
        <v>0</v>
      </c>
      <c r="R414" s="31">
        <v>0</v>
      </c>
      <c r="S414" s="31">
        <v>0</v>
      </c>
      <c r="T414" s="31" t="s">
        <v>46</v>
      </c>
      <c r="U414" s="31" t="s">
        <v>46</v>
      </c>
    </row>
    <row r="415" spans="1:21" x14ac:dyDescent="0.2">
      <c r="A415" s="31">
        <v>0.46002862400327132</v>
      </c>
      <c r="B415" s="46" t="s">
        <v>158</v>
      </c>
      <c r="C415" s="32">
        <v>3.0000499999999999</v>
      </c>
      <c r="D415" s="32">
        <v>1</v>
      </c>
      <c r="E415" s="31">
        <v>0.50000000052480864</v>
      </c>
      <c r="F415" s="31">
        <v>0</v>
      </c>
      <c r="G415" s="31">
        <v>0</v>
      </c>
      <c r="H415" s="31">
        <v>0</v>
      </c>
      <c r="I415" s="31">
        <v>0</v>
      </c>
      <c r="J415" s="47" t="s">
        <v>159</v>
      </c>
      <c r="K415" s="32">
        <v>0</v>
      </c>
      <c r="L415" s="32">
        <v>1</v>
      </c>
      <c r="M415" s="31">
        <v>-0.50000000052480864</v>
      </c>
      <c r="N415" s="31">
        <v>0</v>
      </c>
      <c r="O415" s="31">
        <v>0</v>
      </c>
      <c r="P415" s="31">
        <v>0</v>
      </c>
      <c r="Q415" s="31">
        <v>0</v>
      </c>
      <c r="R415" s="31">
        <v>0</v>
      </c>
      <c r="S415" s="31">
        <v>0</v>
      </c>
      <c r="T415" s="31" t="s">
        <v>47</v>
      </c>
      <c r="U415" s="31" t="s">
        <v>46</v>
      </c>
    </row>
    <row r="416" spans="1:21" x14ac:dyDescent="0.2">
      <c r="A416" s="31">
        <v>0.48558576978123086</v>
      </c>
      <c r="B416" s="46" t="s">
        <v>160</v>
      </c>
      <c r="C416" s="32">
        <v>0</v>
      </c>
      <c r="D416" s="32">
        <v>1</v>
      </c>
      <c r="E416" s="31">
        <v>0.50000000052480864</v>
      </c>
      <c r="F416" s="31">
        <v>0</v>
      </c>
      <c r="G416" s="31">
        <v>0</v>
      </c>
      <c r="H416" s="31">
        <v>0</v>
      </c>
      <c r="I416" s="31">
        <v>0</v>
      </c>
      <c r="J416" s="47" t="s">
        <v>161</v>
      </c>
      <c r="K416" s="32">
        <v>0</v>
      </c>
      <c r="L416" s="32">
        <v>1</v>
      </c>
      <c r="M416" s="31">
        <v>-0.50000000052480864</v>
      </c>
      <c r="N416" s="31">
        <v>0</v>
      </c>
      <c r="O416" s="31">
        <v>0</v>
      </c>
      <c r="P416" s="31">
        <v>0</v>
      </c>
      <c r="Q416" s="31">
        <v>0</v>
      </c>
      <c r="R416" s="31">
        <v>0</v>
      </c>
      <c r="S416" s="31">
        <v>0</v>
      </c>
      <c r="T416" s="31" t="s">
        <v>46</v>
      </c>
      <c r="U416" s="31" t="s">
        <v>46</v>
      </c>
    </row>
    <row r="417" spans="1:21" x14ac:dyDescent="0.2">
      <c r="A417" s="31">
        <v>0.51114291555919034</v>
      </c>
      <c r="B417" s="46" t="s">
        <v>162</v>
      </c>
      <c r="C417" s="32">
        <v>0</v>
      </c>
      <c r="D417" s="32">
        <v>1</v>
      </c>
      <c r="E417" s="31">
        <v>0.50000000052480864</v>
      </c>
      <c r="F417" s="31">
        <v>0</v>
      </c>
      <c r="G417" s="31">
        <v>0</v>
      </c>
      <c r="H417" s="31">
        <v>0</v>
      </c>
      <c r="I417" s="31">
        <v>0</v>
      </c>
      <c r="J417" s="47" t="s">
        <v>163</v>
      </c>
      <c r="K417" s="32">
        <v>0</v>
      </c>
      <c r="L417" s="32">
        <v>1</v>
      </c>
      <c r="M417" s="31">
        <v>-0.50000000052480864</v>
      </c>
      <c r="N417" s="31">
        <v>0</v>
      </c>
      <c r="O417" s="31">
        <v>0</v>
      </c>
      <c r="P417" s="31">
        <v>0</v>
      </c>
      <c r="Q417" s="31">
        <v>0</v>
      </c>
      <c r="R417" s="31">
        <v>0</v>
      </c>
      <c r="S417" s="31">
        <v>0</v>
      </c>
      <c r="T417" s="31" t="s">
        <v>46</v>
      </c>
      <c r="U417" s="31" t="s">
        <v>46</v>
      </c>
    </row>
    <row r="418" spans="1:21" x14ac:dyDescent="0.2">
      <c r="A418" s="31">
        <v>0.5622572071151094</v>
      </c>
      <c r="B418" s="46" t="s">
        <v>164</v>
      </c>
      <c r="C418" s="32">
        <v>0</v>
      </c>
      <c r="D418" s="32">
        <v>1</v>
      </c>
      <c r="E418" s="31">
        <v>0.50000000052480864</v>
      </c>
      <c r="F418" s="31">
        <v>0</v>
      </c>
      <c r="G418" s="31">
        <v>0</v>
      </c>
      <c r="H418" s="31">
        <v>0</v>
      </c>
      <c r="I418" s="31">
        <v>0</v>
      </c>
      <c r="J418" s="47" t="s">
        <v>165</v>
      </c>
      <c r="K418" s="32">
        <v>0</v>
      </c>
      <c r="L418" s="32">
        <v>1</v>
      </c>
      <c r="M418" s="31">
        <v>-0.50000000052480864</v>
      </c>
      <c r="N418" s="31">
        <v>0</v>
      </c>
      <c r="O418" s="31">
        <v>0</v>
      </c>
      <c r="P418" s="31">
        <v>0</v>
      </c>
      <c r="Q418" s="31">
        <v>0</v>
      </c>
      <c r="R418" s="31">
        <v>0</v>
      </c>
      <c r="S418" s="31">
        <v>0</v>
      </c>
      <c r="T418" s="31" t="s">
        <v>46</v>
      </c>
      <c r="U418" s="31" t="s">
        <v>46</v>
      </c>
    </row>
    <row r="419" spans="1:21" x14ac:dyDescent="0.2">
      <c r="A419" s="31">
        <v>0.61337149867102847</v>
      </c>
      <c r="B419" s="46" t="s">
        <v>166</v>
      </c>
      <c r="C419" s="32">
        <v>0</v>
      </c>
      <c r="D419" s="32">
        <v>1</v>
      </c>
      <c r="E419" s="31">
        <v>0.50000000052480864</v>
      </c>
      <c r="F419" s="31">
        <v>0</v>
      </c>
      <c r="G419" s="31">
        <v>0</v>
      </c>
      <c r="H419" s="31">
        <v>0</v>
      </c>
      <c r="I419" s="31">
        <v>0</v>
      </c>
      <c r="J419" s="47" t="s">
        <v>167</v>
      </c>
      <c r="K419" s="32">
        <v>0</v>
      </c>
      <c r="L419" s="32">
        <v>1</v>
      </c>
      <c r="M419" s="31">
        <v>-0.50000000052480864</v>
      </c>
      <c r="N419" s="31">
        <v>0</v>
      </c>
      <c r="O419" s="31">
        <v>0</v>
      </c>
      <c r="P419" s="31">
        <v>0</v>
      </c>
      <c r="Q419" s="31">
        <v>0</v>
      </c>
      <c r="R419" s="31">
        <v>0</v>
      </c>
      <c r="S419" s="31">
        <v>0</v>
      </c>
      <c r="T419" s="31" t="s">
        <v>46</v>
      </c>
      <c r="U419" s="31" t="s">
        <v>46</v>
      </c>
    </row>
    <row r="420" spans="1:21" x14ac:dyDescent="0.2">
      <c r="A420" s="31">
        <v>0.66448579022694754</v>
      </c>
      <c r="B420" s="46" t="s">
        <v>168</v>
      </c>
      <c r="C420" s="32">
        <v>0</v>
      </c>
      <c r="D420" s="32">
        <v>1</v>
      </c>
      <c r="E420" s="31">
        <v>0.50000000052480864</v>
      </c>
      <c r="F420" s="31">
        <v>0</v>
      </c>
      <c r="G420" s="31">
        <v>0</v>
      </c>
      <c r="H420" s="31">
        <v>0</v>
      </c>
      <c r="I420" s="31">
        <v>0</v>
      </c>
      <c r="J420" s="47" t="s">
        <v>169</v>
      </c>
      <c r="K420" s="32">
        <v>0</v>
      </c>
      <c r="L420" s="32">
        <v>1</v>
      </c>
      <c r="M420" s="31">
        <v>-0.50000000052480864</v>
      </c>
      <c r="N420" s="31">
        <v>0</v>
      </c>
      <c r="O420" s="31">
        <v>0</v>
      </c>
      <c r="P420" s="31">
        <v>0</v>
      </c>
      <c r="Q420" s="31">
        <v>0</v>
      </c>
      <c r="R420" s="31">
        <v>0</v>
      </c>
      <c r="S420" s="31">
        <v>0</v>
      </c>
      <c r="T420" s="31" t="s">
        <v>46</v>
      </c>
      <c r="U420" s="31" t="s">
        <v>46</v>
      </c>
    </row>
    <row r="421" spans="1:21" x14ac:dyDescent="0.2">
      <c r="A421" s="31">
        <v>0.71560008178286649</v>
      </c>
      <c r="B421" s="46" t="s">
        <v>170</v>
      </c>
      <c r="C421" s="32">
        <v>0</v>
      </c>
      <c r="D421" s="32">
        <v>1</v>
      </c>
      <c r="E421" s="31">
        <v>0.50000000052480864</v>
      </c>
      <c r="F421" s="31">
        <v>0</v>
      </c>
      <c r="G421" s="31">
        <v>0</v>
      </c>
      <c r="H421" s="31">
        <v>0</v>
      </c>
      <c r="I421" s="31">
        <v>0</v>
      </c>
      <c r="J421" s="47" t="s">
        <v>171</v>
      </c>
      <c r="K421" s="32">
        <v>0</v>
      </c>
      <c r="L421" s="32">
        <v>1</v>
      </c>
      <c r="M421" s="31">
        <v>-0.50000000052480864</v>
      </c>
      <c r="N421" s="31">
        <v>0</v>
      </c>
      <c r="O421" s="31">
        <v>0</v>
      </c>
      <c r="P421" s="31">
        <v>0</v>
      </c>
      <c r="Q421" s="31">
        <v>0</v>
      </c>
      <c r="R421" s="31">
        <v>0</v>
      </c>
      <c r="S421" s="31">
        <v>0</v>
      </c>
      <c r="T421" s="31" t="s">
        <v>46</v>
      </c>
      <c r="U421" s="31" t="s">
        <v>46</v>
      </c>
    </row>
    <row r="422" spans="1:21" x14ac:dyDescent="0.2">
      <c r="A422" s="31">
        <v>0.76671437333878556</v>
      </c>
      <c r="B422" s="46" t="s">
        <v>172</v>
      </c>
      <c r="C422" s="32">
        <v>0</v>
      </c>
      <c r="D422" s="32">
        <v>1</v>
      </c>
      <c r="E422" s="31">
        <v>0.50000000052480864</v>
      </c>
      <c r="F422" s="31">
        <v>0</v>
      </c>
      <c r="G422" s="31">
        <v>0</v>
      </c>
      <c r="H422" s="31">
        <v>0</v>
      </c>
      <c r="I422" s="31">
        <v>0</v>
      </c>
      <c r="J422" s="47" t="s">
        <v>173</v>
      </c>
      <c r="K422" s="32">
        <v>0</v>
      </c>
      <c r="L422" s="32">
        <v>1</v>
      </c>
      <c r="M422" s="31">
        <v>-0.50000000052480864</v>
      </c>
      <c r="N422" s="31">
        <v>0</v>
      </c>
      <c r="O422" s="31">
        <v>0</v>
      </c>
      <c r="P422" s="31">
        <v>0</v>
      </c>
      <c r="Q422" s="31">
        <v>0</v>
      </c>
      <c r="R422" s="31">
        <v>0</v>
      </c>
      <c r="S422" s="31">
        <v>0</v>
      </c>
      <c r="T422" s="31" t="s">
        <v>46</v>
      </c>
      <c r="U422" s="31" t="s">
        <v>46</v>
      </c>
    </row>
    <row r="423" spans="1:21" x14ac:dyDescent="0.2">
      <c r="A423" s="31">
        <v>0.81782866489470463</v>
      </c>
      <c r="B423" s="46" t="s">
        <v>174</v>
      </c>
      <c r="C423" s="32">
        <v>0</v>
      </c>
      <c r="D423" s="32">
        <v>1</v>
      </c>
      <c r="E423" s="31">
        <v>0.50000000052480864</v>
      </c>
      <c r="F423" s="31">
        <v>0</v>
      </c>
      <c r="G423" s="31">
        <v>0</v>
      </c>
      <c r="H423" s="31">
        <v>0</v>
      </c>
      <c r="I423" s="31">
        <v>0</v>
      </c>
      <c r="J423" s="47" t="s">
        <v>175</v>
      </c>
      <c r="K423" s="32">
        <v>0</v>
      </c>
      <c r="L423" s="32">
        <v>1</v>
      </c>
      <c r="M423" s="31">
        <v>-0.50000000052480864</v>
      </c>
      <c r="N423" s="31">
        <v>0</v>
      </c>
      <c r="O423" s="31">
        <v>0</v>
      </c>
      <c r="P423" s="31">
        <v>0</v>
      </c>
      <c r="Q423" s="31">
        <v>0</v>
      </c>
      <c r="R423" s="31">
        <v>0</v>
      </c>
      <c r="S423" s="31">
        <v>0</v>
      </c>
      <c r="T423" s="31" t="s">
        <v>46</v>
      </c>
      <c r="U423" s="31" t="s">
        <v>46</v>
      </c>
    </row>
    <row r="424" spans="1:21" x14ac:dyDescent="0.2">
      <c r="A424" s="31">
        <v>0.86894295645062369</v>
      </c>
      <c r="B424" s="46" t="s">
        <v>176</v>
      </c>
      <c r="C424" s="32">
        <v>0</v>
      </c>
      <c r="D424" s="32">
        <v>1</v>
      </c>
      <c r="E424" s="31">
        <v>0.50000000052480864</v>
      </c>
      <c r="F424" s="31">
        <v>0</v>
      </c>
      <c r="G424" s="31">
        <v>0</v>
      </c>
      <c r="H424" s="31">
        <v>0</v>
      </c>
      <c r="I424" s="31">
        <v>0</v>
      </c>
      <c r="J424" s="47" t="s">
        <v>177</v>
      </c>
      <c r="K424" s="32">
        <v>0</v>
      </c>
      <c r="L424" s="32">
        <v>1</v>
      </c>
      <c r="M424" s="31">
        <v>-0.50000000052480864</v>
      </c>
      <c r="N424" s="31">
        <v>0</v>
      </c>
      <c r="O424" s="31">
        <v>0</v>
      </c>
      <c r="P424" s="31">
        <v>0</v>
      </c>
      <c r="Q424" s="31">
        <v>0</v>
      </c>
      <c r="R424" s="31">
        <v>0</v>
      </c>
      <c r="S424" s="31">
        <v>0</v>
      </c>
      <c r="T424" s="31" t="s">
        <v>46</v>
      </c>
      <c r="U424" s="31" t="s">
        <v>46</v>
      </c>
    </row>
    <row r="425" spans="1:21" x14ac:dyDescent="0.2">
      <c r="A425" s="31">
        <v>0.89450010222858323</v>
      </c>
      <c r="B425" s="46" t="s">
        <v>178</v>
      </c>
      <c r="C425" s="32">
        <v>0</v>
      </c>
      <c r="D425" s="32">
        <v>1</v>
      </c>
      <c r="E425" s="31">
        <v>0.50000000052480864</v>
      </c>
      <c r="F425" s="31">
        <v>0</v>
      </c>
      <c r="G425" s="31">
        <v>0</v>
      </c>
      <c r="H425" s="31">
        <v>0</v>
      </c>
      <c r="I425" s="31">
        <v>0</v>
      </c>
      <c r="J425" s="47" t="s">
        <v>179</v>
      </c>
      <c r="K425" s="32">
        <v>0</v>
      </c>
      <c r="L425" s="32">
        <v>1</v>
      </c>
      <c r="M425" s="31">
        <v>-0.50000000052480864</v>
      </c>
      <c r="N425" s="31">
        <v>0</v>
      </c>
      <c r="O425" s="31">
        <v>0</v>
      </c>
      <c r="P425" s="31">
        <v>0</v>
      </c>
      <c r="Q425" s="31">
        <v>0</v>
      </c>
      <c r="R425" s="31">
        <v>0</v>
      </c>
      <c r="S425" s="31">
        <v>0</v>
      </c>
      <c r="T425" s="31" t="s">
        <v>46</v>
      </c>
      <c r="U425" s="31" t="s">
        <v>46</v>
      </c>
    </row>
    <row r="426" spans="1:21" x14ac:dyDescent="0.2">
      <c r="A426" s="31">
        <v>0.92005724800654265</v>
      </c>
      <c r="B426" s="46" t="s">
        <v>180</v>
      </c>
      <c r="C426" s="32">
        <v>0</v>
      </c>
      <c r="D426" s="32">
        <v>1</v>
      </c>
      <c r="E426" s="31">
        <v>0.50000000052480864</v>
      </c>
      <c r="F426" s="31">
        <v>0</v>
      </c>
      <c r="G426" s="31">
        <v>0</v>
      </c>
      <c r="H426" s="31">
        <v>0</v>
      </c>
      <c r="I426" s="31">
        <v>0</v>
      </c>
      <c r="J426" s="47" t="s">
        <v>181</v>
      </c>
      <c r="K426" s="32">
        <v>0</v>
      </c>
      <c r="L426" s="32">
        <v>1</v>
      </c>
      <c r="M426" s="31">
        <v>-0.50000000052480864</v>
      </c>
      <c r="N426" s="31">
        <v>0</v>
      </c>
      <c r="O426" s="31">
        <v>0</v>
      </c>
      <c r="P426" s="31">
        <v>0</v>
      </c>
      <c r="Q426" s="31">
        <v>0</v>
      </c>
      <c r="R426" s="31">
        <v>0</v>
      </c>
      <c r="S426" s="31">
        <v>0</v>
      </c>
      <c r="T426" s="31" t="s">
        <v>46</v>
      </c>
      <c r="U426" s="31" t="s">
        <v>46</v>
      </c>
    </row>
    <row r="427" spans="1:21" x14ac:dyDescent="0.2">
      <c r="A427" s="31">
        <v>0.94561439378450218</v>
      </c>
      <c r="B427" s="46" t="s">
        <v>182</v>
      </c>
      <c r="C427" s="32">
        <v>0</v>
      </c>
      <c r="D427" s="32">
        <v>1</v>
      </c>
      <c r="E427" s="31">
        <v>0.50000000052480864</v>
      </c>
      <c r="F427" s="31">
        <v>0</v>
      </c>
      <c r="G427" s="31">
        <v>0</v>
      </c>
      <c r="H427" s="31">
        <v>0</v>
      </c>
      <c r="I427" s="31">
        <v>0</v>
      </c>
      <c r="J427" s="47" t="s">
        <v>183</v>
      </c>
      <c r="K427" s="32">
        <v>0</v>
      </c>
      <c r="L427" s="32">
        <v>1</v>
      </c>
      <c r="M427" s="31">
        <v>-0.50000000052480864</v>
      </c>
      <c r="N427" s="31">
        <v>0</v>
      </c>
      <c r="O427" s="31">
        <v>0</v>
      </c>
      <c r="P427" s="31">
        <v>0</v>
      </c>
      <c r="Q427" s="31">
        <v>0</v>
      </c>
      <c r="R427" s="31">
        <v>0</v>
      </c>
      <c r="S427" s="31">
        <v>0</v>
      </c>
      <c r="T427" s="31" t="s">
        <v>46</v>
      </c>
      <c r="U427" s="31" t="s">
        <v>46</v>
      </c>
    </row>
    <row r="428" spans="1:21" x14ac:dyDescent="0.2">
      <c r="A428" s="31">
        <v>0.97117153956246172</v>
      </c>
      <c r="B428" s="46" t="s">
        <v>184</v>
      </c>
      <c r="C428" s="32">
        <v>0</v>
      </c>
      <c r="D428" s="32">
        <v>1</v>
      </c>
      <c r="E428" s="31">
        <v>0.50000000052480864</v>
      </c>
      <c r="F428" s="31">
        <v>0</v>
      </c>
      <c r="G428" s="31">
        <v>0</v>
      </c>
      <c r="H428" s="31">
        <v>0</v>
      </c>
      <c r="I428" s="31">
        <v>0</v>
      </c>
      <c r="J428" s="47" t="s">
        <v>185</v>
      </c>
      <c r="K428" s="32">
        <v>0</v>
      </c>
      <c r="L428" s="32">
        <v>1</v>
      </c>
      <c r="M428" s="31">
        <v>-0.50000000052480864</v>
      </c>
      <c r="N428" s="31">
        <v>0</v>
      </c>
      <c r="O428" s="31">
        <v>0</v>
      </c>
      <c r="P428" s="31">
        <v>0</v>
      </c>
      <c r="Q428" s="31">
        <v>0</v>
      </c>
      <c r="R428" s="31">
        <v>0</v>
      </c>
      <c r="S428" s="31">
        <v>0</v>
      </c>
      <c r="T428" s="31" t="s">
        <v>46</v>
      </c>
      <c r="U428" s="31" t="s">
        <v>46</v>
      </c>
    </row>
    <row r="429" spans="1:21" x14ac:dyDescent="0.2">
      <c r="A429" s="31">
        <v>0.99672868534042125</v>
      </c>
      <c r="B429" s="46" t="s">
        <v>186</v>
      </c>
      <c r="C429" s="32">
        <v>0</v>
      </c>
      <c r="D429" s="32">
        <v>1</v>
      </c>
      <c r="E429" s="31">
        <v>0.50000000052480864</v>
      </c>
      <c r="F429" s="31">
        <v>0</v>
      </c>
      <c r="G429" s="31">
        <v>0</v>
      </c>
      <c r="H429" s="31">
        <v>0</v>
      </c>
      <c r="I429" s="31">
        <v>0</v>
      </c>
      <c r="J429" s="47" t="s">
        <v>187</v>
      </c>
      <c r="K429" s="32">
        <v>0</v>
      </c>
      <c r="L429" s="32">
        <v>1</v>
      </c>
      <c r="M429" s="31">
        <v>-0.50000000052480864</v>
      </c>
      <c r="N429" s="31">
        <v>0</v>
      </c>
      <c r="O429" s="31">
        <v>0</v>
      </c>
      <c r="P429" s="31">
        <v>0</v>
      </c>
      <c r="Q429" s="31">
        <v>0</v>
      </c>
      <c r="R429" s="31">
        <v>0</v>
      </c>
      <c r="S429" s="31">
        <v>0</v>
      </c>
      <c r="T429" s="31" t="s">
        <v>46</v>
      </c>
      <c r="U429" s="31" t="s">
        <v>46</v>
      </c>
    </row>
    <row r="430" spans="1:21" x14ac:dyDescent="0.2">
      <c r="A430" s="31">
        <v>1.0222858311183807</v>
      </c>
      <c r="B430" s="46" t="s">
        <v>188</v>
      </c>
      <c r="C430" s="32">
        <v>0</v>
      </c>
      <c r="D430" s="32">
        <v>1</v>
      </c>
      <c r="E430" s="31">
        <v>0.50000000052480864</v>
      </c>
      <c r="F430" s="31">
        <v>0</v>
      </c>
      <c r="G430" s="31">
        <v>0</v>
      </c>
      <c r="H430" s="31">
        <v>0</v>
      </c>
      <c r="I430" s="31">
        <v>0</v>
      </c>
      <c r="J430" s="47" t="s">
        <v>189</v>
      </c>
      <c r="K430" s="32">
        <v>0</v>
      </c>
      <c r="L430" s="32">
        <v>1</v>
      </c>
      <c r="M430" s="31">
        <v>-0.50000000052480864</v>
      </c>
      <c r="N430" s="31">
        <v>0</v>
      </c>
      <c r="O430" s="31">
        <v>0</v>
      </c>
      <c r="P430" s="31">
        <v>0</v>
      </c>
      <c r="Q430" s="31">
        <v>0</v>
      </c>
      <c r="R430" s="31">
        <v>0</v>
      </c>
      <c r="S430" s="31">
        <v>0</v>
      </c>
      <c r="T430" s="31" t="s">
        <v>46</v>
      </c>
      <c r="U430" s="31" t="s">
        <v>46</v>
      </c>
    </row>
    <row r="431" spans="1:21" x14ac:dyDescent="0.2">
      <c r="A431" s="31">
        <v>1.0734001226742997</v>
      </c>
      <c r="B431" s="46" t="s">
        <v>190</v>
      </c>
      <c r="C431" s="32">
        <v>0</v>
      </c>
      <c r="D431" s="32">
        <v>1</v>
      </c>
      <c r="E431" s="31">
        <v>0.50000000052480864</v>
      </c>
      <c r="F431" s="31">
        <v>0</v>
      </c>
      <c r="G431" s="31">
        <v>0</v>
      </c>
      <c r="H431" s="31">
        <v>0</v>
      </c>
      <c r="I431" s="31">
        <v>0</v>
      </c>
      <c r="J431" s="47" t="s">
        <v>191</v>
      </c>
      <c r="K431" s="32">
        <v>0</v>
      </c>
      <c r="L431" s="32">
        <v>1</v>
      </c>
      <c r="M431" s="31">
        <v>-0.50000000052480864</v>
      </c>
      <c r="N431" s="31">
        <v>0</v>
      </c>
      <c r="O431" s="31">
        <v>0</v>
      </c>
      <c r="P431" s="31">
        <v>0</v>
      </c>
      <c r="Q431" s="31">
        <v>0</v>
      </c>
      <c r="R431" s="31">
        <v>0</v>
      </c>
      <c r="S431" s="31">
        <v>0</v>
      </c>
      <c r="T431" s="31" t="s">
        <v>46</v>
      </c>
      <c r="U431" s="31" t="s">
        <v>46</v>
      </c>
    </row>
    <row r="432" spans="1:21" x14ac:dyDescent="0.2">
      <c r="A432" s="31">
        <v>1.1245144142302188</v>
      </c>
      <c r="B432" s="46" t="s">
        <v>192</v>
      </c>
      <c r="C432" s="32">
        <v>0</v>
      </c>
      <c r="D432" s="32">
        <v>1</v>
      </c>
      <c r="E432" s="31">
        <v>0.50000000052480864</v>
      </c>
      <c r="F432" s="31">
        <v>0</v>
      </c>
      <c r="G432" s="31">
        <v>0</v>
      </c>
      <c r="H432" s="31">
        <v>0</v>
      </c>
      <c r="I432" s="31">
        <v>0</v>
      </c>
      <c r="J432" s="47" t="s">
        <v>193</v>
      </c>
      <c r="K432" s="32">
        <v>0</v>
      </c>
      <c r="L432" s="32">
        <v>1</v>
      </c>
      <c r="M432" s="31">
        <v>-0.50000000052480864</v>
      </c>
      <c r="N432" s="31">
        <v>0</v>
      </c>
      <c r="O432" s="31">
        <v>0</v>
      </c>
      <c r="P432" s="31">
        <v>0</v>
      </c>
      <c r="Q432" s="31">
        <v>0</v>
      </c>
      <c r="R432" s="31">
        <v>0</v>
      </c>
      <c r="S432" s="31">
        <v>0</v>
      </c>
      <c r="T432" s="31" t="s">
        <v>46</v>
      </c>
      <c r="U432" s="31" t="s">
        <v>46</v>
      </c>
    </row>
    <row r="433" spans="1:21" x14ac:dyDescent="0.2">
      <c r="A433" s="31">
        <v>1.1756287057861379</v>
      </c>
      <c r="B433" s="46" t="s">
        <v>194</v>
      </c>
      <c r="C433" s="32">
        <v>0</v>
      </c>
      <c r="D433" s="32">
        <v>1</v>
      </c>
      <c r="E433" s="31">
        <v>0.50000000052480864</v>
      </c>
      <c r="F433" s="31">
        <v>0</v>
      </c>
      <c r="G433" s="31">
        <v>0</v>
      </c>
      <c r="H433" s="31">
        <v>0</v>
      </c>
      <c r="I433" s="31">
        <v>0</v>
      </c>
      <c r="J433" s="47" t="s">
        <v>195</v>
      </c>
      <c r="K433" s="32">
        <v>0</v>
      </c>
      <c r="L433" s="32">
        <v>1</v>
      </c>
      <c r="M433" s="31">
        <v>-0.50000000052480864</v>
      </c>
      <c r="N433" s="31">
        <v>0</v>
      </c>
      <c r="O433" s="31">
        <v>0</v>
      </c>
      <c r="P433" s="31">
        <v>0</v>
      </c>
      <c r="Q433" s="31">
        <v>0</v>
      </c>
      <c r="R433" s="31">
        <v>0</v>
      </c>
      <c r="S433" s="31">
        <v>0</v>
      </c>
      <c r="T433" s="31" t="s">
        <v>46</v>
      </c>
      <c r="U433" s="31" t="s">
        <v>46</v>
      </c>
    </row>
    <row r="434" spans="1:21" x14ac:dyDescent="0.2">
      <c r="A434" s="31">
        <v>1.2267429973420569</v>
      </c>
      <c r="B434" s="46" t="s">
        <v>196</v>
      </c>
      <c r="C434" s="32">
        <v>0</v>
      </c>
      <c r="D434" s="32">
        <v>1</v>
      </c>
      <c r="E434" s="31">
        <v>0.50000000052480864</v>
      </c>
      <c r="F434" s="31">
        <v>0</v>
      </c>
      <c r="G434" s="31">
        <v>0</v>
      </c>
      <c r="H434" s="31">
        <v>0</v>
      </c>
      <c r="I434" s="31">
        <v>0</v>
      </c>
      <c r="J434" s="47" t="s">
        <v>197</v>
      </c>
      <c r="K434" s="32">
        <v>0</v>
      </c>
      <c r="L434" s="32">
        <v>1</v>
      </c>
      <c r="M434" s="31">
        <v>-0.50000000052480864</v>
      </c>
      <c r="N434" s="31">
        <v>0</v>
      </c>
      <c r="O434" s="31">
        <v>0</v>
      </c>
      <c r="P434" s="31">
        <v>0</v>
      </c>
      <c r="Q434" s="31">
        <v>0</v>
      </c>
      <c r="R434" s="31">
        <v>0</v>
      </c>
      <c r="S434" s="31">
        <v>0</v>
      </c>
      <c r="T434" s="31" t="s">
        <v>46</v>
      </c>
      <c r="U434" s="31" t="s">
        <v>46</v>
      </c>
    </row>
    <row r="435" spans="1:21" x14ac:dyDescent="0.2">
      <c r="A435" s="31">
        <v>1.277857288897976</v>
      </c>
      <c r="B435" s="46" t="s">
        <v>198</v>
      </c>
      <c r="C435" s="32">
        <v>0</v>
      </c>
      <c r="D435" s="32">
        <v>1</v>
      </c>
      <c r="E435" s="31">
        <v>0.50000000052480864</v>
      </c>
      <c r="F435" s="31">
        <v>0</v>
      </c>
      <c r="G435" s="31">
        <v>0</v>
      </c>
      <c r="H435" s="31">
        <v>0</v>
      </c>
      <c r="I435" s="31">
        <v>0</v>
      </c>
      <c r="J435" s="47" t="s">
        <v>199</v>
      </c>
      <c r="K435" s="32">
        <v>0</v>
      </c>
      <c r="L435" s="32">
        <v>1</v>
      </c>
      <c r="M435" s="31">
        <v>-0.50000000052480864</v>
      </c>
      <c r="N435" s="31">
        <v>0</v>
      </c>
      <c r="O435" s="31">
        <v>0</v>
      </c>
      <c r="P435" s="31">
        <v>0</v>
      </c>
      <c r="Q435" s="31">
        <v>0</v>
      </c>
      <c r="R435" s="31">
        <v>0</v>
      </c>
      <c r="S435" s="31">
        <v>0</v>
      </c>
      <c r="T435" s="31" t="s">
        <v>46</v>
      </c>
      <c r="U435" s="31" t="s">
        <v>46</v>
      </c>
    </row>
    <row r="436" spans="1:21" x14ac:dyDescent="0.2">
      <c r="A436" s="31">
        <v>1.3289715804538951</v>
      </c>
      <c r="B436" s="46" t="s">
        <v>200</v>
      </c>
      <c r="C436" s="32">
        <v>0</v>
      </c>
      <c r="D436" s="32">
        <v>1</v>
      </c>
      <c r="E436" s="31">
        <v>0.50000000052480864</v>
      </c>
      <c r="F436" s="31">
        <v>0</v>
      </c>
      <c r="G436" s="31">
        <v>0</v>
      </c>
      <c r="H436" s="31">
        <v>0</v>
      </c>
      <c r="I436" s="31">
        <v>0</v>
      </c>
      <c r="J436" s="47" t="s">
        <v>201</v>
      </c>
      <c r="K436" s="32">
        <v>0</v>
      </c>
      <c r="L436" s="32">
        <v>1</v>
      </c>
      <c r="M436" s="31">
        <v>-0.50000000052480864</v>
      </c>
      <c r="N436" s="31">
        <v>0</v>
      </c>
      <c r="O436" s="31">
        <v>0</v>
      </c>
      <c r="P436" s="31">
        <v>0</v>
      </c>
      <c r="Q436" s="31">
        <v>0</v>
      </c>
      <c r="R436" s="31">
        <v>0</v>
      </c>
      <c r="S436" s="31">
        <v>0</v>
      </c>
      <c r="T436" s="31" t="s">
        <v>46</v>
      </c>
      <c r="U436" s="31" t="s">
        <v>46</v>
      </c>
    </row>
    <row r="437" spans="1:21" x14ac:dyDescent="0.2">
      <c r="A437" s="31">
        <v>1.3800858720098141</v>
      </c>
      <c r="B437" s="46" t="s">
        <v>202</v>
      </c>
      <c r="C437" s="32">
        <v>0</v>
      </c>
      <c r="D437" s="32">
        <v>1</v>
      </c>
      <c r="E437" s="31">
        <v>0.50000000052480864</v>
      </c>
      <c r="F437" s="31">
        <v>0</v>
      </c>
      <c r="G437" s="31">
        <v>0</v>
      </c>
      <c r="H437" s="31">
        <v>0</v>
      </c>
      <c r="I437" s="31">
        <v>0</v>
      </c>
      <c r="J437" s="47" t="s">
        <v>203</v>
      </c>
      <c r="K437" s="32">
        <v>0</v>
      </c>
      <c r="L437" s="32">
        <v>1</v>
      </c>
      <c r="M437" s="31">
        <v>-0.50000000052480864</v>
      </c>
      <c r="N437" s="31">
        <v>0</v>
      </c>
      <c r="O437" s="31">
        <v>0</v>
      </c>
      <c r="P437" s="31">
        <v>0</v>
      </c>
      <c r="Q437" s="31">
        <v>0</v>
      </c>
      <c r="R437" s="31">
        <v>0</v>
      </c>
      <c r="S437" s="31">
        <v>0</v>
      </c>
      <c r="T437" s="31" t="s">
        <v>46</v>
      </c>
      <c r="U437" s="31" t="s">
        <v>46</v>
      </c>
    </row>
    <row r="438" spans="1:21" x14ac:dyDescent="0.2">
      <c r="A438" s="31">
        <v>1.431200163565733</v>
      </c>
      <c r="B438" s="46" t="s">
        <v>204</v>
      </c>
      <c r="C438" s="32">
        <v>0</v>
      </c>
      <c r="D438" s="32">
        <v>1</v>
      </c>
      <c r="E438" s="31">
        <v>0.50000000052480864</v>
      </c>
      <c r="F438" s="31">
        <v>0</v>
      </c>
      <c r="G438" s="31">
        <v>0</v>
      </c>
      <c r="H438" s="31">
        <v>0</v>
      </c>
      <c r="I438" s="31">
        <v>0</v>
      </c>
      <c r="J438" s="47" t="s">
        <v>205</v>
      </c>
      <c r="K438" s="32">
        <v>0</v>
      </c>
      <c r="L438" s="32">
        <v>1</v>
      </c>
      <c r="M438" s="31">
        <v>-0.50000000052480864</v>
      </c>
      <c r="N438" s="31">
        <v>0</v>
      </c>
      <c r="O438" s="31">
        <v>0</v>
      </c>
      <c r="P438" s="31">
        <v>0</v>
      </c>
      <c r="Q438" s="31">
        <v>0</v>
      </c>
      <c r="R438" s="31">
        <v>0</v>
      </c>
      <c r="S438" s="31">
        <v>0</v>
      </c>
      <c r="T438" s="31" t="s">
        <v>46</v>
      </c>
      <c r="U438" s="31" t="s">
        <v>46</v>
      </c>
    </row>
    <row r="439" spans="1:21" x14ac:dyDescent="0.2">
      <c r="A439" s="31">
        <v>1.4823144551216521</v>
      </c>
      <c r="B439" s="46" t="s">
        <v>206</v>
      </c>
      <c r="C439" s="32">
        <v>0</v>
      </c>
      <c r="D439" s="32">
        <v>1</v>
      </c>
      <c r="E439" s="31">
        <v>0.50000000052480864</v>
      </c>
      <c r="F439" s="31">
        <v>0</v>
      </c>
      <c r="G439" s="31">
        <v>0</v>
      </c>
      <c r="H439" s="31">
        <v>0</v>
      </c>
      <c r="I439" s="31">
        <v>0</v>
      </c>
      <c r="J439" s="47" t="s">
        <v>207</v>
      </c>
      <c r="K439" s="32">
        <v>0</v>
      </c>
      <c r="L439" s="32">
        <v>1</v>
      </c>
      <c r="M439" s="31">
        <v>-0.50000000052480864</v>
      </c>
      <c r="N439" s="31">
        <v>0</v>
      </c>
      <c r="O439" s="31">
        <v>0</v>
      </c>
      <c r="P439" s="31">
        <v>0</v>
      </c>
      <c r="Q439" s="31">
        <v>0</v>
      </c>
      <c r="R439" s="31">
        <v>0</v>
      </c>
      <c r="S439" s="31">
        <v>0</v>
      </c>
      <c r="T439" s="31" t="s">
        <v>46</v>
      </c>
      <c r="U439" s="31" t="s">
        <v>46</v>
      </c>
    </row>
    <row r="440" spans="1:21" x14ac:dyDescent="0.2">
      <c r="A440" s="31">
        <v>1.5334287466775711</v>
      </c>
      <c r="B440" s="46" t="s">
        <v>208</v>
      </c>
      <c r="C440" s="32">
        <v>0</v>
      </c>
      <c r="D440" s="32">
        <v>1</v>
      </c>
      <c r="E440" s="31">
        <v>0.50000000052480864</v>
      </c>
      <c r="F440" s="31">
        <v>0</v>
      </c>
      <c r="G440" s="31">
        <v>0</v>
      </c>
      <c r="H440" s="31">
        <v>0</v>
      </c>
      <c r="I440" s="31">
        <v>0</v>
      </c>
      <c r="J440" s="47" t="s">
        <v>209</v>
      </c>
      <c r="K440" s="32">
        <v>0</v>
      </c>
      <c r="L440" s="32">
        <v>1</v>
      </c>
      <c r="M440" s="31">
        <v>-0.50000000052480864</v>
      </c>
      <c r="N440" s="31">
        <v>0</v>
      </c>
      <c r="O440" s="31">
        <v>0</v>
      </c>
      <c r="P440" s="31">
        <v>0</v>
      </c>
      <c r="Q440" s="31">
        <v>0</v>
      </c>
      <c r="R440" s="31">
        <v>0</v>
      </c>
      <c r="S440" s="31">
        <v>0</v>
      </c>
      <c r="T440" s="31" t="s">
        <v>46</v>
      </c>
      <c r="U440" s="31" t="s">
        <v>46</v>
      </c>
    </row>
    <row r="441" spans="1:21" x14ac:dyDescent="0.2">
      <c r="A441" s="31">
        <v>1.5845430382334902</v>
      </c>
      <c r="B441" s="46" t="s">
        <v>210</v>
      </c>
      <c r="C441" s="32">
        <v>0</v>
      </c>
      <c r="D441" s="32">
        <v>1</v>
      </c>
      <c r="E441" s="31">
        <v>0.50000000052480864</v>
      </c>
      <c r="F441" s="31">
        <v>0</v>
      </c>
      <c r="G441" s="31">
        <v>0</v>
      </c>
      <c r="H441" s="31">
        <v>0</v>
      </c>
      <c r="I441" s="31">
        <v>0</v>
      </c>
      <c r="J441" s="47" t="s">
        <v>211</v>
      </c>
      <c r="K441" s="32">
        <v>0</v>
      </c>
      <c r="L441" s="32">
        <v>1</v>
      </c>
      <c r="M441" s="31">
        <v>-0.50000000052480864</v>
      </c>
      <c r="N441" s="31">
        <v>0</v>
      </c>
      <c r="O441" s="31">
        <v>0</v>
      </c>
      <c r="P441" s="31">
        <v>0</v>
      </c>
      <c r="Q441" s="31">
        <v>0</v>
      </c>
      <c r="R441" s="31">
        <v>0</v>
      </c>
      <c r="S441" s="31">
        <v>0</v>
      </c>
      <c r="T441" s="31" t="s">
        <v>46</v>
      </c>
      <c r="U441" s="31" t="s">
        <v>46</v>
      </c>
    </row>
    <row r="442" spans="1:21" x14ac:dyDescent="0.2">
      <c r="A442" s="31">
        <v>1.6356573297894093</v>
      </c>
      <c r="B442" s="46" t="s">
        <v>212</v>
      </c>
      <c r="C442" s="32">
        <v>0</v>
      </c>
      <c r="D442" s="32">
        <v>1</v>
      </c>
      <c r="E442" s="31">
        <v>0.50000000052480864</v>
      </c>
      <c r="F442" s="31">
        <v>0</v>
      </c>
      <c r="G442" s="31">
        <v>0</v>
      </c>
      <c r="H442" s="31">
        <v>0</v>
      </c>
      <c r="I442" s="31">
        <v>0</v>
      </c>
      <c r="J442" s="47" t="s">
        <v>213</v>
      </c>
      <c r="K442" s="32">
        <v>0</v>
      </c>
      <c r="L442" s="32">
        <v>1</v>
      </c>
      <c r="M442" s="31">
        <v>-0.50000000052480864</v>
      </c>
      <c r="N442" s="31">
        <v>0</v>
      </c>
      <c r="O442" s="31">
        <v>0</v>
      </c>
      <c r="P442" s="31">
        <v>0</v>
      </c>
      <c r="Q442" s="31">
        <v>0</v>
      </c>
      <c r="R442" s="31">
        <v>0</v>
      </c>
      <c r="S442" s="31">
        <v>0</v>
      </c>
      <c r="T442" s="31" t="s">
        <v>46</v>
      </c>
      <c r="U442" s="31" t="s">
        <v>46</v>
      </c>
    </row>
    <row r="443" spans="1:21" x14ac:dyDescent="0.2">
      <c r="A443" s="31">
        <v>1.6867716213453283</v>
      </c>
      <c r="B443" s="46" t="s">
        <v>214</v>
      </c>
      <c r="C443" s="32">
        <v>0</v>
      </c>
      <c r="D443" s="32">
        <v>1</v>
      </c>
      <c r="E443" s="31">
        <v>0.50000000052480864</v>
      </c>
      <c r="F443" s="31">
        <v>0</v>
      </c>
      <c r="G443" s="31">
        <v>0</v>
      </c>
      <c r="H443" s="31">
        <v>0</v>
      </c>
      <c r="I443" s="31">
        <v>0</v>
      </c>
      <c r="J443" s="47" t="s">
        <v>215</v>
      </c>
      <c r="K443" s="32">
        <v>0</v>
      </c>
      <c r="L443" s="32">
        <v>1</v>
      </c>
      <c r="M443" s="31">
        <v>-0.50000000052480864</v>
      </c>
      <c r="N443" s="31">
        <v>0</v>
      </c>
      <c r="O443" s="31">
        <v>0</v>
      </c>
      <c r="P443" s="31">
        <v>0</v>
      </c>
      <c r="Q443" s="31">
        <v>0</v>
      </c>
      <c r="R443" s="31">
        <v>0</v>
      </c>
      <c r="S443" s="31">
        <v>0</v>
      </c>
      <c r="T443" s="31" t="s">
        <v>46</v>
      </c>
      <c r="U443" s="31" t="s">
        <v>46</v>
      </c>
    </row>
    <row r="444" spans="1:21" x14ac:dyDescent="0.2">
      <c r="A444" s="31">
        <v>1.7378859129012474</v>
      </c>
      <c r="B444" s="46" t="s">
        <v>216</v>
      </c>
      <c r="C444" s="32">
        <v>0</v>
      </c>
      <c r="D444" s="32">
        <v>1</v>
      </c>
      <c r="E444" s="31">
        <v>0.50000000052480864</v>
      </c>
      <c r="F444" s="31">
        <v>0</v>
      </c>
      <c r="G444" s="31">
        <v>0</v>
      </c>
      <c r="H444" s="31">
        <v>0</v>
      </c>
      <c r="I444" s="31">
        <v>0</v>
      </c>
      <c r="J444" s="47" t="s">
        <v>217</v>
      </c>
      <c r="K444" s="32">
        <v>0</v>
      </c>
      <c r="L444" s="32">
        <v>1</v>
      </c>
      <c r="M444" s="31">
        <v>-0.50000000052480864</v>
      </c>
      <c r="N444" s="31">
        <v>0</v>
      </c>
      <c r="O444" s="31">
        <v>0</v>
      </c>
      <c r="P444" s="31">
        <v>0</v>
      </c>
      <c r="Q444" s="31">
        <v>0</v>
      </c>
      <c r="R444" s="31">
        <v>0</v>
      </c>
      <c r="S444" s="31">
        <v>0</v>
      </c>
      <c r="T444" s="31" t="s">
        <v>46</v>
      </c>
      <c r="U444" s="31" t="s">
        <v>46</v>
      </c>
    </row>
    <row r="445" spans="1:21" x14ac:dyDescent="0.2">
      <c r="A445" s="31">
        <v>1.7890002044571665</v>
      </c>
      <c r="B445" s="46" t="s">
        <v>218</v>
      </c>
      <c r="C445" s="32">
        <v>0</v>
      </c>
      <c r="D445" s="32">
        <v>1</v>
      </c>
      <c r="E445" s="31">
        <v>0.50000000052480864</v>
      </c>
      <c r="F445" s="31">
        <v>0</v>
      </c>
      <c r="G445" s="31">
        <v>0</v>
      </c>
      <c r="H445" s="31">
        <v>0</v>
      </c>
      <c r="I445" s="31">
        <v>0</v>
      </c>
      <c r="J445" s="47" t="s">
        <v>219</v>
      </c>
      <c r="K445" s="32">
        <v>0</v>
      </c>
      <c r="L445" s="32">
        <v>1</v>
      </c>
      <c r="M445" s="31">
        <v>-0.50000000052480864</v>
      </c>
      <c r="N445" s="31">
        <v>0</v>
      </c>
      <c r="O445" s="31">
        <v>0</v>
      </c>
      <c r="P445" s="31">
        <v>0</v>
      </c>
      <c r="Q445" s="31">
        <v>0</v>
      </c>
      <c r="R445" s="31">
        <v>0</v>
      </c>
      <c r="S445" s="31">
        <v>0</v>
      </c>
      <c r="T445" s="31" t="s">
        <v>46</v>
      </c>
      <c r="U445" s="31" t="s">
        <v>46</v>
      </c>
    </row>
    <row r="446" spans="1:21" x14ac:dyDescent="0.2">
      <c r="A446" s="31">
        <v>1.8401144960130853</v>
      </c>
      <c r="B446" s="46" t="s">
        <v>220</v>
      </c>
      <c r="C446" s="32">
        <v>0</v>
      </c>
      <c r="D446" s="32">
        <v>1</v>
      </c>
      <c r="E446" s="31">
        <v>0.50000000052480864</v>
      </c>
      <c r="F446" s="31">
        <v>0</v>
      </c>
      <c r="G446" s="31">
        <v>0</v>
      </c>
      <c r="H446" s="31">
        <v>0</v>
      </c>
      <c r="I446" s="31">
        <v>0</v>
      </c>
      <c r="J446" s="47" t="s">
        <v>221</v>
      </c>
      <c r="K446" s="32">
        <v>0</v>
      </c>
      <c r="L446" s="32">
        <v>1</v>
      </c>
      <c r="M446" s="31">
        <v>-0.50000000052480864</v>
      </c>
      <c r="N446" s="31">
        <v>0</v>
      </c>
      <c r="O446" s="31">
        <v>0</v>
      </c>
      <c r="P446" s="31">
        <v>0</v>
      </c>
      <c r="Q446" s="31">
        <v>0</v>
      </c>
      <c r="R446" s="31">
        <v>0</v>
      </c>
      <c r="S446" s="31">
        <v>0</v>
      </c>
      <c r="T446" s="31" t="s">
        <v>46</v>
      </c>
      <c r="U446" s="31" t="s">
        <v>46</v>
      </c>
    </row>
    <row r="447" spans="1:21" x14ac:dyDescent="0.2">
      <c r="A447" s="31">
        <v>1.8912287875690044</v>
      </c>
      <c r="B447" s="46" t="s">
        <v>222</v>
      </c>
      <c r="C447" s="32">
        <v>0</v>
      </c>
      <c r="D447" s="32">
        <v>1</v>
      </c>
      <c r="E447" s="31">
        <v>0.50000000052480864</v>
      </c>
      <c r="F447" s="31">
        <v>0</v>
      </c>
      <c r="G447" s="31">
        <v>0</v>
      </c>
      <c r="H447" s="31">
        <v>0</v>
      </c>
      <c r="I447" s="48">
        <v>0</v>
      </c>
      <c r="J447" s="47" t="s">
        <v>223</v>
      </c>
      <c r="K447" s="32">
        <v>0</v>
      </c>
      <c r="L447" s="32">
        <v>1</v>
      </c>
      <c r="M447" s="31">
        <v>-0.50000000052480864</v>
      </c>
      <c r="N447" s="31">
        <v>0</v>
      </c>
      <c r="O447" s="31">
        <v>0</v>
      </c>
      <c r="P447" s="31">
        <v>0</v>
      </c>
      <c r="Q447" s="31">
        <v>0</v>
      </c>
      <c r="R447" s="31">
        <v>0</v>
      </c>
      <c r="S447" s="31">
        <v>0</v>
      </c>
      <c r="T447" s="31" t="s">
        <v>46</v>
      </c>
      <c r="U447" s="31" t="s">
        <v>46</v>
      </c>
    </row>
    <row r="448" spans="1:21" x14ac:dyDescent="0.2">
      <c r="A448" s="31">
        <v>1.9423430791249234</v>
      </c>
      <c r="B448" s="46" t="s">
        <v>224</v>
      </c>
      <c r="C448" s="32">
        <v>0</v>
      </c>
      <c r="D448" s="32">
        <v>1</v>
      </c>
      <c r="E448" s="31">
        <v>0.50000000052480864</v>
      </c>
      <c r="F448" s="31">
        <v>0</v>
      </c>
      <c r="G448" s="31">
        <v>0</v>
      </c>
      <c r="H448" s="31">
        <v>0</v>
      </c>
      <c r="I448" s="48">
        <v>0</v>
      </c>
      <c r="J448" s="47" t="s">
        <v>225</v>
      </c>
      <c r="K448" s="32">
        <v>0</v>
      </c>
      <c r="L448" s="32">
        <v>1</v>
      </c>
      <c r="M448" s="31">
        <v>-0.50000000052480864</v>
      </c>
      <c r="N448" s="31">
        <v>0</v>
      </c>
      <c r="O448" s="31">
        <v>0</v>
      </c>
      <c r="P448" s="31">
        <v>0</v>
      </c>
      <c r="Q448" s="31">
        <v>0</v>
      </c>
      <c r="R448" s="31">
        <v>0</v>
      </c>
      <c r="S448" s="31">
        <v>0</v>
      </c>
      <c r="T448" s="31" t="s">
        <v>46</v>
      </c>
      <c r="U448" s="31" t="s">
        <v>46</v>
      </c>
    </row>
    <row r="449" spans="1:21" x14ac:dyDescent="0.2">
      <c r="A449" s="31">
        <v>1.9934573706808425</v>
      </c>
      <c r="B449" s="46" t="s">
        <v>226</v>
      </c>
      <c r="C449" s="32">
        <v>0</v>
      </c>
      <c r="D449" s="32">
        <v>1</v>
      </c>
      <c r="E449" s="31">
        <v>0.50000000052480864</v>
      </c>
      <c r="F449" s="31">
        <v>0</v>
      </c>
      <c r="G449" s="31">
        <v>0</v>
      </c>
      <c r="H449" s="31">
        <v>0</v>
      </c>
      <c r="I449" s="48">
        <v>0</v>
      </c>
      <c r="J449" s="47" t="s">
        <v>227</v>
      </c>
      <c r="K449" s="32">
        <v>0</v>
      </c>
      <c r="L449" s="32">
        <v>1</v>
      </c>
      <c r="M449" s="31">
        <v>-0.50000000052480864</v>
      </c>
      <c r="N449" s="31">
        <v>0</v>
      </c>
      <c r="O449" s="31">
        <v>0</v>
      </c>
      <c r="P449" s="31">
        <v>0</v>
      </c>
      <c r="Q449" s="31">
        <v>0</v>
      </c>
      <c r="R449" s="31">
        <v>0</v>
      </c>
      <c r="S449" s="31">
        <v>0</v>
      </c>
      <c r="T449" s="31" t="s">
        <v>46</v>
      </c>
      <c r="U449" s="31" t="s">
        <v>46</v>
      </c>
    </row>
    <row r="450" spans="1:21" x14ac:dyDescent="0.2">
      <c r="A450" s="31">
        <v>2.0445716622367613</v>
      </c>
      <c r="B450" s="46" t="s">
        <v>228</v>
      </c>
      <c r="C450" s="32">
        <v>0</v>
      </c>
      <c r="D450" s="32">
        <v>1</v>
      </c>
      <c r="E450" s="31">
        <v>0.50000000052480864</v>
      </c>
      <c r="F450" s="31">
        <v>0</v>
      </c>
      <c r="G450" s="31">
        <v>0</v>
      </c>
      <c r="H450" s="31">
        <v>0</v>
      </c>
      <c r="I450" s="48">
        <v>0</v>
      </c>
      <c r="J450" s="47" t="s">
        <v>229</v>
      </c>
      <c r="K450" s="32">
        <v>3.0000499999999999</v>
      </c>
      <c r="L450" s="32">
        <v>1</v>
      </c>
      <c r="M450" s="31">
        <v>-0.50000000052480864</v>
      </c>
      <c r="N450" s="31">
        <v>0</v>
      </c>
      <c r="O450" s="31">
        <v>0</v>
      </c>
      <c r="P450" s="31">
        <v>0</v>
      </c>
      <c r="Q450" s="31">
        <v>0</v>
      </c>
      <c r="R450" s="31">
        <v>0</v>
      </c>
      <c r="S450" s="31">
        <v>0</v>
      </c>
      <c r="T450" s="31" t="s">
        <v>46</v>
      </c>
      <c r="U450" s="31" t="s">
        <v>47</v>
      </c>
    </row>
    <row r="451" spans="1:21" x14ac:dyDescent="0.2">
      <c r="A451" s="31">
        <v>2.0956859537926804</v>
      </c>
      <c r="B451" s="46" t="s">
        <v>230</v>
      </c>
      <c r="C451" s="32">
        <v>0</v>
      </c>
      <c r="D451" s="32">
        <v>1</v>
      </c>
      <c r="E451" s="31">
        <v>0.50000000052480864</v>
      </c>
      <c r="F451" s="31">
        <v>0</v>
      </c>
      <c r="G451" s="31">
        <v>0</v>
      </c>
      <c r="H451" s="31">
        <v>0</v>
      </c>
      <c r="I451" s="48">
        <v>0</v>
      </c>
      <c r="J451" s="47" t="s">
        <v>231</v>
      </c>
      <c r="K451" s="32">
        <v>3.0000499999999999</v>
      </c>
      <c r="L451" s="32">
        <v>1</v>
      </c>
      <c r="M451" s="31">
        <v>-0.50000000052480864</v>
      </c>
      <c r="N451" s="31">
        <v>0</v>
      </c>
      <c r="O451" s="31">
        <v>0</v>
      </c>
      <c r="P451" s="31">
        <v>0</v>
      </c>
      <c r="Q451" s="31">
        <v>0</v>
      </c>
      <c r="R451" s="31">
        <v>0</v>
      </c>
      <c r="S451" s="31">
        <v>0</v>
      </c>
      <c r="T451" s="31" t="s">
        <v>46</v>
      </c>
      <c r="U451" s="31" t="s">
        <v>47</v>
      </c>
    </row>
    <row r="452" spans="1:21" x14ac:dyDescent="0.2">
      <c r="A452" s="31">
        <v>0.48558576978123086</v>
      </c>
      <c r="B452" s="46" t="s">
        <v>232</v>
      </c>
      <c r="C452" s="32">
        <v>0</v>
      </c>
      <c r="D452" s="32">
        <v>1</v>
      </c>
      <c r="E452" s="31">
        <v>0.50000000052480864</v>
      </c>
      <c r="F452" s="31">
        <v>0</v>
      </c>
      <c r="G452" s="31">
        <v>0</v>
      </c>
      <c r="H452" s="31">
        <v>0</v>
      </c>
      <c r="I452" s="48">
        <v>0</v>
      </c>
      <c r="J452" s="47" t="s">
        <v>233</v>
      </c>
      <c r="K452" s="32">
        <v>0</v>
      </c>
      <c r="L452" s="32">
        <v>1</v>
      </c>
      <c r="M452" s="31">
        <v>-0.50000000052480864</v>
      </c>
      <c r="N452" s="31">
        <v>0</v>
      </c>
      <c r="O452" s="31">
        <v>0</v>
      </c>
      <c r="P452" s="31">
        <v>0</v>
      </c>
      <c r="Q452" s="31">
        <v>0</v>
      </c>
      <c r="R452" s="31">
        <v>0</v>
      </c>
      <c r="S452" s="31">
        <v>0</v>
      </c>
      <c r="T452" s="31" t="s">
        <v>46</v>
      </c>
      <c r="U452" s="31" t="s">
        <v>46</v>
      </c>
    </row>
    <row r="453" spans="1:21" x14ac:dyDescent="0.2">
      <c r="A453" s="31">
        <v>0.51114291555919034</v>
      </c>
      <c r="B453" s="46" t="s">
        <v>234</v>
      </c>
      <c r="C453" s="32">
        <v>0</v>
      </c>
      <c r="D453" s="32">
        <v>1</v>
      </c>
      <c r="E453" s="31">
        <v>0.50000000052480864</v>
      </c>
      <c r="F453" s="31">
        <v>0</v>
      </c>
      <c r="G453" s="31">
        <v>0</v>
      </c>
      <c r="H453" s="31">
        <v>0</v>
      </c>
      <c r="I453" s="48">
        <v>0</v>
      </c>
      <c r="J453" s="47" t="s">
        <v>235</v>
      </c>
      <c r="K453" s="32">
        <v>0</v>
      </c>
      <c r="L453" s="32">
        <v>1</v>
      </c>
      <c r="M453" s="31">
        <v>-0.50000000052480864</v>
      </c>
      <c r="N453" s="31">
        <v>0</v>
      </c>
      <c r="O453" s="31">
        <v>0</v>
      </c>
      <c r="P453" s="31">
        <v>0</v>
      </c>
      <c r="Q453" s="31">
        <v>0</v>
      </c>
      <c r="R453" s="31">
        <v>0</v>
      </c>
      <c r="S453" s="31">
        <v>0</v>
      </c>
      <c r="T453" s="31" t="s">
        <v>46</v>
      </c>
      <c r="U453" s="31" t="s">
        <v>46</v>
      </c>
    </row>
    <row r="454" spans="1:21" x14ac:dyDescent="0.2">
      <c r="A454" s="31">
        <v>0.5622572071151094</v>
      </c>
      <c r="B454" s="46" t="s">
        <v>236</v>
      </c>
      <c r="C454" s="32">
        <v>0</v>
      </c>
      <c r="D454" s="32">
        <v>1</v>
      </c>
      <c r="E454" s="31">
        <v>0.50000000052480864</v>
      </c>
      <c r="F454" s="31">
        <v>0</v>
      </c>
      <c r="G454" s="31">
        <v>0</v>
      </c>
      <c r="H454" s="31">
        <v>0</v>
      </c>
      <c r="I454" s="48">
        <v>0</v>
      </c>
      <c r="J454" s="47" t="s">
        <v>237</v>
      </c>
      <c r="K454" s="32">
        <v>0</v>
      </c>
      <c r="L454" s="32">
        <v>1</v>
      </c>
      <c r="M454" s="31">
        <v>-0.50000000052480864</v>
      </c>
      <c r="N454" s="31">
        <v>0</v>
      </c>
      <c r="O454" s="31">
        <v>0</v>
      </c>
      <c r="P454" s="31">
        <v>0</v>
      </c>
      <c r="Q454" s="31">
        <v>0</v>
      </c>
      <c r="R454" s="31">
        <v>0</v>
      </c>
      <c r="S454" s="31">
        <v>0</v>
      </c>
      <c r="T454" s="31" t="s">
        <v>46</v>
      </c>
      <c r="U454" s="31" t="s">
        <v>46</v>
      </c>
    </row>
    <row r="455" spans="1:21" x14ac:dyDescent="0.2">
      <c r="A455" s="31">
        <v>0.61337149867102847</v>
      </c>
      <c r="B455" s="46" t="s">
        <v>238</v>
      </c>
      <c r="C455" s="32">
        <v>0</v>
      </c>
      <c r="D455" s="32">
        <v>1</v>
      </c>
      <c r="E455" s="31">
        <v>0.50000000052480864</v>
      </c>
      <c r="F455" s="31">
        <v>0</v>
      </c>
      <c r="G455" s="31">
        <v>0</v>
      </c>
      <c r="H455" s="31">
        <v>0</v>
      </c>
      <c r="I455" s="48">
        <v>0</v>
      </c>
      <c r="J455" s="47" t="s">
        <v>239</v>
      </c>
      <c r="K455" s="32">
        <v>0</v>
      </c>
      <c r="L455" s="32">
        <v>1</v>
      </c>
      <c r="M455" s="31">
        <v>-0.50000000052480864</v>
      </c>
      <c r="N455" s="31">
        <v>0</v>
      </c>
      <c r="O455" s="31">
        <v>0</v>
      </c>
      <c r="P455" s="31">
        <v>0</v>
      </c>
      <c r="Q455" s="31">
        <v>0</v>
      </c>
      <c r="R455" s="31">
        <v>0</v>
      </c>
      <c r="S455" s="31">
        <v>0</v>
      </c>
      <c r="T455" s="31" t="s">
        <v>46</v>
      </c>
      <c r="U455" s="31" t="s">
        <v>46</v>
      </c>
    </row>
    <row r="456" spans="1:21" x14ac:dyDescent="0.2">
      <c r="A456" s="31">
        <v>0.66448579022694754</v>
      </c>
      <c r="B456" s="46" t="s">
        <v>240</v>
      </c>
      <c r="C456" s="32">
        <v>0</v>
      </c>
      <c r="D456" s="32">
        <v>1</v>
      </c>
      <c r="E456" s="31">
        <v>0.50000000052480864</v>
      </c>
      <c r="F456" s="31">
        <v>0</v>
      </c>
      <c r="G456" s="31">
        <v>0</v>
      </c>
      <c r="H456" s="31">
        <v>0</v>
      </c>
      <c r="I456" s="48">
        <v>0</v>
      </c>
      <c r="J456" s="47" t="s">
        <v>241</v>
      </c>
      <c r="K456" s="32">
        <v>0</v>
      </c>
      <c r="L456" s="32">
        <v>1</v>
      </c>
      <c r="M456" s="31">
        <v>-0.50000000052480864</v>
      </c>
      <c r="N456" s="31">
        <v>0</v>
      </c>
      <c r="O456" s="31">
        <v>0</v>
      </c>
      <c r="P456" s="31">
        <v>0</v>
      </c>
      <c r="Q456" s="31">
        <v>0</v>
      </c>
      <c r="R456" s="31">
        <v>0</v>
      </c>
      <c r="S456" s="31">
        <v>0</v>
      </c>
      <c r="T456" s="31" t="s">
        <v>46</v>
      </c>
      <c r="U456" s="31" t="s">
        <v>46</v>
      </c>
    </row>
    <row r="457" spans="1:21" x14ac:dyDescent="0.2">
      <c r="A457" s="31">
        <v>0.71560008178286649</v>
      </c>
      <c r="B457" s="46" t="s">
        <v>242</v>
      </c>
      <c r="C457" s="32">
        <v>0</v>
      </c>
      <c r="D457" s="32">
        <v>1</v>
      </c>
      <c r="E457" s="31">
        <v>0.50000000052480864</v>
      </c>
      <c r="F457" s="31">
        <v>0</v>
      </c>
      <c r="G457" s="31">
        <v>0</v>
      </c>
      <c r="H457" s="31">
        <v>0</v>
      </c>
      <c r="I457" s="48">
        <v>0</v>
      </c>
      <c r="J457" s="47" t="s">
        <v>243</v>
      </c>
      <c r="K457" s="32">
        <v>0</v>
      </c>
      <c r="L457" s="32">
        <v>1</v>
      </c>
      <c r="M457" s="31">
        <v>-0.50000000052480864</v>
      </c>
      <c r="N457" s="31">
        <v>0</v>
      </c>
      <c r="O457" s="31">
        <v>0</v>
      </c>
      <c r="P457" s="31">
        <v>0</v>
      </c>
      <c r="Q457" s="31">
        <v>0</v>
      </c>
      <c r="R457" s="31">
        <v>0</v>
      </c>
      <c r="S457" s="31">
        <v>0</v>
      </c>
      <c r="T457" s="31" t="s">
        <v>46</v>
      </c>
      <c r="U457" s="31" t="s">
        <v>46</v>
      </c>
    </row>
    <row r="458" spans="1:21" x14ac:dyDescent="0.2">
      <c r="A458" s="31">
        <v>0.76671437333878556</v>
      </c>
      <c r="B458" s="46" t="s">
        <v>244</v>
      </c>
      <c r="C458" s="32">
        <v>0</v>
      </c>
      <c r="D458" s="32">
        <v>1</v>
      </c>
      <c r="E458" s="31">
        <v>0.50000000052480864</v>
      </c>
      <c r="F458" s="31">
        <v>0</v>
      </c>
      <c r="G458" s="31">
        <v>0</v>
      </c>
      <c r="H458" s="31">
        <v>0</v>
      </c>
      <c r="I458" s="48">
        <v>0</v>
      </c>
      <c r="J458" s="47" t="s">
        <v>245</v>
      </c>
      <c r="K458" s="32">
        <v>0</v>
      </c>
      <c r="L458" s="32">
        <v>1</v>
      </c>
      <c r="M458" s="31">
        <v>-0.50000000052480864</v>
      </c>
      <c r="N458" s="31">
        <v>0</v>
      </c>
      <c r="O458" s="31">
        <v>0</v>
      </c>
      <c r="P458" s="31">
        <v>0</v>
      </c>
      <c r="Q458" s="31">
        <v>0</v>
      </c>
      <c r="R458" s="31">
        <v>0</v>
      </c>
      <c r="S458" s="31">
        <v>0</v>
      </c>
      <c r="T458" s="31" t="s">
        <v>46</v>
      </c>
      <c r="U458" s="31" t="s">
        <v>46</v>
      </c>
    </row>
    <row r="459" spans="1:21" x14ac:dyDescent="0.2">
      <c r="A459" s="31">
        <v>0.81782866489470463</v>
      </c>
      <c r="B459" s="46" t="s">
        <v>246</v>
      </c>
      <c r="C459" s="32">
        <v>0</v>
      </c>
      <c r="D459" s="32">
        <v>1</v>
      </c>
      <c r="E459" s="31">
        <v>0.50000000052480864</v>
      </c>
      <c r="F459" s="31">
        <v>0</v>
      </c>
      <c r="G459" s="31">
        <v>0</v>
      </c>
      <c r="H459" s="31">
        <v>0</v>
      </c>
      <c r="I459" s="48">
        <v>0</v>
      </c>
      <c r="J459" s="47" t="s">
        <v>247</v>
      </c>
      <c r="K459" s="32">
        <v>0</v>
      </c>
      <c r="L459" s="32">
        <v>1</v>
      </c>
      <c r="M459" s="31">
        <v>-0.50000000052480864</v>
      </c>
      <c r="N459" s="31">
        <v>0</v>
      </c>
      <c r="O459" s="31">
        <v>0</v>
      </c>
      <c r="P459" s="31">
        <v>0</v>
      </c>
      <c r="Q459" s="31">
        <v>0</v>
      </c>
      <c r="R459" s="31">
        <v>0</v>
      </c>
      <c r="S459" s="31">
        <v>0</v>
      </c>
      <c r="T459" s="31" t="s">
        <v>46</v>
      </c>
      <c r="U459" s="31" t="s">
        <v>46</v>
      </c>
    </row>
    <row r="460" spans="1:21" x14ac:dyDescent="0.2">
      <c r="A460" s="31">
        <v>0.86894295645062369</v>
      </c>
      <c r="B460" s="46" t="s">
        <v>248</v>
      </c>
      <c r="C460" s="32">
        <v>0</v>
      </c>
      <c r="D460" s="32">
        <v>1</v>
      </c>
      <c r="E460" s="31">
        <v>0.50000000052480864</v>
      </c>
      <c r="F460" s="31">
        <v>0</v>
      </c>
      <c r="G460" s="31">
        <v>0</v>
      </c>
      <c r="H460" s="31">
        <v>0</v>
      </c>
      <c r="I460" s="48">
        <v>0</v>
      </c>
      <c r="J460" s="47" t="s">
        <v>249</v>
      </c>
      <c r="K460" s="32">
        <v>0</v>
      </c>
      <c r="L460" s="32">
        <v>1</v>
      </c>
      <c r="M460" s="31">
        <v>-0.50000000052480864</v>
      </c>
      <c r="N460" s="31">
        <v>0</v>
      </c>
      <c r="O460" s="31">
        <v>0</v>
      </c>
      <c r="P460" s="31">
        <v>0</v>
      </c>
      <c r="Q460" s="31">
        <v>0</v>
      </c>
      <c r="R460" s="31">
        <v>0</v>
      </c>
      <c r="S460" s="31">
        <v>0</v>
      </c>
      <c r="T460" s="31" t="s">
        <v>46</v>
      </c>
      <c r="U460" s="31" t="s">
        <v>46</v>
      </c>
    </row>
    <row r="461" spans="1:21" x14ac:dyDescent="0.2">
      <c r="A461" s="31">
        <v>0.89450010222858323</v>
      </c>
      <c r="B461" s="46" t="s">
        <v>250</v>
      </c>
      <c r="C461" s="32">
        <v>0</v>
      </c>
      <c r="D461" s="32">
        <v>1</v>
      </c>
      <c r="E461" s="31">
        <v>0.50000000052480864</v>
      </c>
      <c r="F461" s="31">
        <v>0</v>
      </c>
      <c r="G461" s="31">
        <v>0</v>
      </c>
      <c r="H461" s="31">
        <v>0</v>
      </c>
      <c r="I461" s="48">
        <v>0</v>
      </c>
      <c r="J461" s="47" t="s">
        <v>251</v>
      </c>
      <c r="K461" s="32">
        <v>0</v>
      </c>
      <c r="L461" s="32">
        <v>1</v>
      </c>
      <c r="M461" s="31">
        <v>-0.50000000052480864</v>
      </c>
      <c r="N461" s="31">
        <v>0</v>
      </c>
      <c r="O461" s="31">
        <v>0</v>
      </c>
      <c r="P461" s="31">
        <v>0</v>
      </c>
      <c r="Q461" s="31">
        <v>0</v>
      </c>
      <c r="R461" s="31">
        <v>0</v>
      </c>
      <c r="S461" s="31">
        <v>0</v>
      </c>
      <c r="T461" s="31" t="s">
        <v>46</v>
      </c>
      <c r="U461" s="31" t="s">
        <v>46</v>
      </c>
    </row>
    <row r="462" spans="1:21" x14ac:dyDescent="0.2">
      <c r="A462" s="31">
        <v>0.92005724800654265</v>
      </c>
      <c r="B462" s="46" t="s">
        <v>252</v>
      </c>
      <c r="C462" s="32">
        <v>0</v>
      </c>
      <c r="D462" s="32">
        <v>1</v>
      </c>
      <c r="E462" s="31">
        <v>0.50000000052480864</v>
      </c>
      <c r="F462" s="31">
        <v>0</v>
      </c>
      <c r="G462" s="31">
        <v>0</v>
      </c>
      <c r="H462" s="31">
        <v>0</v>
      </c>
      <c r="I462" s="48">
        <v>0</v>
      </c>
      <c r="J462" s="47" t="s">
        <v>253</v>
      </c>
      <c r="K462" s="32">
        <v>0</v>
      </c>
      <c r="L462" s="32">
        <v>1</v>
      </c>
      <c r="M462" s="31">
        <v>-0.50000000052480864</v>
      </c>
      <c r="N462" s="31">
        <v>0</v>
      </c>
      <c r="O462" s="31">
        <v>0</v>
      </c>
      <c r="P462" s="31">
        <v>0</v>
      </c>
      <c r="Q462" s="31">
        <v>0</v>
      </c>
      <c r="R462" s="31">
        <v>0</v>
      </c>
      <c r="S462" s="31">
        <v>0</v>
      </c>
      <c r="T462" s="31" t="s">
        <v>46</v>
      </c>
      <c r="U462" s="31" t="s">
        <v>46</v>
      </c>
    </row>
    <row r="463" spans="1:21" x14ac:dyDescent="0.2">
      <c r="A463" s="31">
        <v>0.94561439378450218</v>
      </c>
      <c r="B463" s="46" t="s">
        <v>254</v>
      </c>
      <c r="C463" s="32">
        <v>0</v>
      </c>
      <c r="D463" s="32">
        <v>1</v>
      </c>
      <c r="E463" s="31">
        <v>0.50000000052480864</v>
      </c>
      <c r="F463" s="31">
        <v>0</v>
      </c>
      <c r="G463" s="31">
        <v>0</v>
      </c>
      <c r="H463" s="31">
        <v>0</v>
      </c>
      <c r="I463" s="48">
        <v>0</v>
      </c>
      <c r="J463" s="47" t="s">
        <v>255</v>
      </c>
      <c r="K463" s="32">
        <v>0</v>
      </c>
      <c r="L463" s="32">
        <v>1</v>
      </c>
      <c r="M463" s="31">
        <v>-0.50000000052480864</v>
      </c>
      <c r="N463" s="31">
        <v>0</v>
      </c>
      <c r="O463" s="31">
        <v>0</v>
      </c>
      <c r="P463" s="31">
        <v>0</v>
      </c>
      <c r="Q463" s="31">
        <v>0</v>
      </c>
      <c r="R463" s="31">
        <v>0</v>
      </c>
      <c r="S463" s="31">
        <v>0</v>
      </c>
      <c r="T463" s="31" t="s">
        <v>46</v>
      </c>
      <c r="U463" s="31" t="s">
        <v>46</v>
      </c>
    </row>
    <row r="464" spans="1:21" x14ac:dyDescent="0.2">
      <c r="A464" s="31">
        <v>0.97117153956246172</v>
      </c>
      <c r="B464" s="46" t="s">
        <v>256</v>
      </c>
      <c r="C464" s="32">
        <v>0</v>
      </c>
      <c r="D464" s="32">
        <v>1</v>
      </c>
      <c r="E464" s="31">
        <v>0.50000000052480864</v>
      </c>
      <c r="F464" s="31">
        <v>0</v>
      </c>
      <c r="G464" s="31">
        <v>0</v>
      </c>
      <c r="H464" s="31">
        <v>0</v>
      </c>
      <c r="I464" s="48">
        <v>0</v>
      </c>
      <c r="J464" s="47" t="s">
        <v>257</v>
      </c>
      <c r="K464" s="32">
        <v>0</v>
      </c>
      <c r="L464" s="32">
        <v>1</v>
      </c>
      <c r="M464" s="31">
        <v>-0.50000000052480864</v>
      </c>
      <c r="N464" s="31">
        <v>0</v>
      </c>
      <c r="O464" s="31">
        <v>0</v>
      </c>
      <c r="P464" s="31">
        <v>0</v>
      </c>
      <c r="Q464" s="31">
        <v>0</v>
      </c>
      <c r="R464" s="31">
        <v>0</v>
      </c>
      <c r="S464" s="31">
        <v>0</v>
      </c>
      <c r="T464" s="31" t="s">
        <v>46</v>
      </c>
      <c r="U464" s="31" t="s">
        <v>46</v>
      </c>
    </row>
    <row r="465" spans="1:21" x14ac:dyDescent="0.2">
      <c r="A465" s="31">
        <v>0.99672868534042125</v>
      </c>
      <c r="B465" s="46" t="s">
        <v>258</v>
      </c>
      <c r="C465" s="32">
        <v>0</v>
      </c>
      <c r="D465" s="32">
        <v>1</v>
      </c>
      <c r="E465" s="31">
        <v>0.50000000052480864</v>
      </c>
      <c r="F465" s="31">
        <v>0</v>
      </c>
      <c r="G465" s="31">
        <v>0</v>
      </c>
      <c r="H465" s="31">
        <v>0</v>
      </c>
      <c r="I465" s="48">
        <v>0</v>
      </c>
      <c r="J465" s="47" t="s">
        <v>259</v>
      </c>
      <c r="K465" s="32">
        <v>0</v>
      </c>
      <c r="L465" s="32">
        <v>1</v>
      </c>
      <c r="M465" s="31">
        <v>-0.50000000052480864</v>
      </c>
      <c r="N465" s="31">
        <v>0</v>
      </c>
      <c r="O465" s="31">
        <v>0</v>
      </c>
      <c r="P465" s="31">
        <v>0</v>
      </c>
      <c r="Q465" s="31">
        <v>0</v>
      </c>
      <c r="R465" s="31">
        <v>0</v>
      </c>
      <c r="S465" s="31">
        <v>0</v>
      </c>
      <c r="T465" s="31" t="s">
        <v>46</v>
      </c>
      <c r="U465" s="31" t="s">
        <v>46</v>
      </c>
    </row>
    <row r="466" spans="1:21" x14ac:dyDescent="0.2">
      <c r="A466" s="31">
        <v>1.0222858311183807</v>
      </c>
      <c r="B466" s="46" t="s">
        <v>260</v>
      </c>
      <c r="C466" s="32">
        <v>0</v>
      </c>
      <c r="D466" s="32">
        <v>1</v>
      </c>
      <c r="E466" s="31">
        <v>0.50000000052480864</v>
      </c>
      <c r="F466" s="31">
        <v>0</v>
      </c>
      <c r="G466" s="31">
        <v>0</v>
      </c>
      <c r="H466" s="31">
        <v>0</v>
      </c>
      <c r="I466" s="48">
        <v>0</v>
      </c>
      <c r="J466" s="47" t="s">
        <v>261</v>
      </c>
      <c r="K466" s="32">
        <v>0</v>
      </c>
      <c r="L466" s="32">
        <v>1</v>
      </c>
      <c r="M466" s="31">
        <v>-0.50000000052480864</v>
      </c>
      <c r="N466" s="31">
        <v>0</v>
      </c>
      <c r="O466" s="31">
        <v>0</v>
      </c>
      <c r="P466" s="31">
        <v>0</v>
      </c>
      <c r="Q466" s="31">
        <v>0</v>
      </c>
      <c r="R466" s="31">
        <v>0</v>
      </c>
      <c r="S466" s="31">
        <v>0</v>
      </c>
      <c r="T466" s="31" t="s">
        <v>46</v>
      </c>
      <c r="U466" s="31" t="s">
        <v>46</v>
      </c>
    </row>
    <row r="467" spans="1:21" x14ac:dyDescent="0.2">
      <c r="A467" s="31">
        <v>1.0734001226742997</v>
      </c>
      <c r="B467" s="46" t="s">
        <v>262</v>
      </c>
      <c r="C467" s="32">
        <v>0</v>
      </c>
      <c r="D467" s="32">
        <v>1</v>
      </c>
      <c r="E467" s="31">
        <v>0.50000000052480864</v>
      </c>
      <c r="F467" s="31">
        <v>0</v>
      </c>
      <c r="G467" s="31">
        <v>0</v>
      </c>
      <c r="H467" s="31">
        <v>0</v>
      </c>
      <c r="I467" s="48">
        <v>0</v>
      </c>
      <c r="J467" s="47" t="s">
        <v>263</v>
      </c>
      <c r="K467" s="32">
        <v>0</v>
      </c>
      <c r="L467" s="32">
        <v>1</v>
      </c>
      <c r="M467" s="31">
        <v>-0.50000000052480864</v>
      </c>
      <c r="N467" s="31">
        <v>0</v>
      </c>
      <c r="O467" s="31">
        <v>0</v>
      </c>
      <c r="P467" s="31">
        <v>0</v>
      </c>
      <c r="Q467" s="31">
        <v>0</v>
      </c>
      <c r="R467" s="31">
        <v>0</v>
      </c>
      <c r="S467" s="31">
        <v>0</v>
      </c>
      <c r="T467" s="31" t="s">
        <v>46</v>
      </c>
      <c r="U467" s="31" t="s">
        <v>46</v>
      </c>
    </row>
    <row r="468" spans="1:21" x14ac:dyDescent="0.2">
      <c r="A468" s="31">
        <v>1.1245144142302188</v>
      </c>
      <c r="B468" s="46" t="s">
        <v>264</v>
      </c>
      <c r="C468" s="32">
        <v>0</v>
      </c>
      <c r="D468" s="32">
        <v>1</v>
      </c>
      <c r="E468" s="31">
        <v>0.50000000052480864</v>
      </c>
      <c r="F468" s="31">
        <v>0</v>
      </c>
      <c r="G468" s="31">
        <v>0</v>
      </c>
      <c r="H468" s="31">
        <v>0</v>
      </c>
      <c r="I468" s="48">
        <v>0</v>
      </c>
      <c r="J468" s="47" t="s">
        <v>265</v>
      </c>
      <c r="K468" s="32">
        <v>0</v>
      </c>
      <c r="L468" s="32">
        <v>1</v>
      </c>
      <c r="M468" s="31">
        <v>-0.50000000052480864</v>
      </c>
      <c r="N468" s="31">
        <v>0</v>
      </c>
      <c r="O468" s="31">
        <v>0</v>
      </c>
      <c r="P468" s="31">
        <v>0</v>
      </c>
      <c r="Q468" s="31">
        <v>0</v>
      </c>
      <c r="R468" s="31">
        <v>0</v>
      </c>
      <c r="S468" s="31">
        <v>0</v>
      </c>
      <c r="T468" s="31" t="s">
        <v>46</v>
      </c>
      <c r="U468" s="31" t="s">
        <v>46</v>
      </c>
    </row>
    <row r="469" spans="1:21" x14ac:dyDescent="0.2">
      <c r="A469" s="31">
        <v>1.1756287057861379</v>
      </c>
      <c r="B469" s="46" t="s">
        <v>266</v>
      </c>
      <c r="C469" s="32">
        <v>0</v>
      </c>
      <c r="D469" s="32">
        <v>1</v>
      </c>
      <c r="E469" s="31">
        <v>0.50000000052480864</v>
      </c>
      <c r="F469" s="31">
        <v>0</v>
      </c>
      <c r="G469" s="31">
        <v>0</v>
      </c>
      <c r="H469" s="31">
        <v>0</v>
      </c>
      <c r="I469" s="48">
        <v>0</v>
      </c>
      <c r="J469" s="47" t="s">
        <v>267</v>
      </c>
      <c r="K469" s="32">
        <v>0</v>
      </c>
      <c r="L469" s="32">
        <v>1</v>
      </c>
      <c r="M469" s="31">
        <v>-0.50000000052480864</v>
      </c>
      <c r="N469" s="31">
        <v>0</v>
      </c>
      <c r="O469" s="31">
        <v>0</v>
      </c>
      <c r="P469" s="31">
        <v>0</v>
      </c>
      <c r="Q469" s="31">
        <v>0</v>
      </c>
      <c r="R469" s="31">
        <v>0</v>
      </c>
      <c r="S469" s="31">
        <v>0</v>
      </c>
      <c r="T469" s="31" t="s">
        <v>46</v>
      </c>
      <c r="U469" s="31" t="s">
        <v>46</v>
      </c>
    </row>
    <row r="470" spans="1:21" x14ac:dyDescent="0.2">
      <c r="A470" s="31">
        <v>1.2267429973420569</v>
      </c>
      <c r="B470" s="46" t="s">
        <v>268</v>
      </c>
      <c r="C470" s="32">
        <v>0</v>
      </c>
      <c r="D470" s="32">
        <v>1</v>
      </c>
      <c r="E470" s="31">
        <v>0.50000000052480864</v>
      </c>
      <c r="F470" s="31">
        <v>0</v>
      </c>
      <c r="G470" s="31">
        <v>0</v>
      </c>
      <c r="H470" s="31">
        <v>0</v>
      </c>
      <c r="I470" s="48">
        <v>0</v>
      </c>
      <c r="J470" s="47" t="s">
        <v>269</v>
      </c>
      <c r="K470" s="32">
        <v>0</v>
      </c>
      <c r="L470" s="32">
        <v>1</v>
      </c>
      <c r="M470" s="31">
        <v>-0.50000000052480864</v>
      </c>
      <c r="N470" s="31">
        <v>0</v>
      </c>
      <c r="O470" s="31">
        <v>0</v>
      </c>
      <c r="P470" s="31">
        <v>0</v>
      </c>
      <c r="Q470" s="31">
        <v>0</v>
      </c>
      <c r="R470" s="31">
        <v>0</v>
      </c>
      <c r="S470" s="31">
        <v>0</v>
      </c>
      <c r="T470" s="31" t="s">
        <v>46</v>
      </c>
      <c r="U470" s="31" t="s">
        <v>46</v>
      </c>
    </row>
    <row r="471" spans="1:21" x14ac:dyDescent="0.2">
      <c r="A471" s="31">
        <v>1.277857288897976</v>
      </c>
      <c r="B471" s="46" t="s">
        <v>270</v>
      </c>
      <c r="C471" s="32">
        <v>0</v>
      </c>
      <c r="D471" s="32">
        <v>1</v>
      </c>
      <c r="E471" s="31">
        <v>0.50000000052480864</v>
      </c>
      <c r="F471" s="31">
        <v>0</v>
      </c>
      <c r="G471" s="31">
        <v>0</v>
      </c>
      <c r="H471" s="31">
        <v>0</v>
      </c>
      <c r="I471" s="48">
        <v>0</v>
      </c>
      <c r="J471" s="47" t="s">
        <v>271</v>
      </c>
      <c r="K471" s="32">
        <v>0</v>
      </c>
      <c r="L471" s="32">
        <v>1</v>
      </c>
      <c r="M471" s="31">
        <v>-0.50000000052480864</v>
      </c>
      <c r="N471" s="31">
        <v>0</v>
      </c>
      <c r="O471" s="31">
        <v>0</v>
      </c>
      <c r="P471" s="31">
        <v>0</v>
      </c>
      <c r="Q471" s="31">
        <v>0</v>
      </c>
      <c r="R471" s="31">
        <v>0</v>
      </c>
      <c r="S471" s="31">
        <v>0</v>
      </c>
      <c r="T471" s="31" t="s">
        <v>46</v>
      </c>
      <c r="U471" s="31" t="s">
        <v>46</v>
      </c>
    </row>
    <row r="472" spans="1:21" x14ac:dyDescent="0.2">
      <c r="A472" s="31">
        <v>1.3289715804538951</v>
      </c>
      <c r="B472" s="46" t="s">
        <v>272</v>
      </c>
      <c r="C472" s="32">
        <v>0</v>
      </c>
      <c r="D472" s="32">
        <v>1</v>
      </c>
      <c r="E472" s="31">
        <v>0.50000000052480864</v>
      </c>
      <c r="F472" s="31">
        <v>0</v>
      </c>
      <c r="G472" s="31">
        <v>0</v>
      </c>
      <c r="H472" s="31">
        <v>0</v>
      </c>
      <c r="I472" s="48">
        <v>0</v>
      </c>
      <c r="J472" s="47" t="s">
        <v>273</v>
      </c>
      <c r="K472" s="32">
        <v>0</v>
      </c>
      <c r="L472" s="32">
        <v>1</v>
      </c>
      <c r="M472" s="31">
        <v>-0.50000000052480864</v>
      </c>
      <c r="N472" s="31">
        <v>0</v>
      </c>
      <c r="O472" s="31">
        <v>0</v>
      </c>
      <c r="P472" s="31">
        <v>0</v>
      </c>
      <c r="Q472" s="31">
        <v>0</v>
      </c>
      <c r="R472" s="31">
        <v>0</v>
      </c>
      <c r="S472" s="31">
        <v>0</v>
      </c>
      <c r="T472" s="31" t="s">
        <v>46</v>
      </c>
      <c r="U472" s="31" t="s">
        <v>46</v>
      </c>
    </row>
    <row r="473" spans="1:21" x14ac:dyDescent="0.2">
      <c r="A473" s="31">
        <v>1.3800858720098141</v>
      </c>
      <c r="B473" s="46" t="s">
        <v>274</v>
      </c>
      <c r="C473" s="32">
        <v>0</v>
      </c>
      <c r="D473" s="32">
        <v>1</v>
      </c>
      <c r="E473" s="31">
        <v>0.50000000052480864</v>
      </c>
      <c r="F473" s="31">
        <v>0</v>
      </c>
      <c r="G473" s="31">
        <v>0</v>
      </c>
      <c r="H473" s="31">
        <v>0</v>
      </c>
      <c r="I473" s="48">
        <v>0</v>
      </c>
      <c r="J473" s="47" t="s">
        <v>275</v>
      </c>
      <c r="K473" s="32">
        <v>0</v>
      </c>
      <c r="L473" s="32">
        <v>1</v>
      </c>
      <c r="M473" s="31">
        <v>-0.50000000052480864</v>
      </c>
      <c r="N473" s="31">
        <v>0</v>
      </c>
      <c r="O473" s="31">
        <v>0</v>
      </c>
      <c r="P473" s="31">
        <v>0</v>
      </c>
      <c r="Q473" s="31">
        <v>0</v>
      </c>
      <c r="R473" s="31">
        <v>0</v>
      </c>
      <c r="S473" s="31">
        <v>0</v>
      </c>
      <c r="T473" s="31" t="s">
        <v>46</v>
      </c>
      <c r="U473" s="31" t="s">
        <v>46</v>
      </c>
    </row>
    <row r="474" spans="1:21" x14ac:dyDescent="0.2">
      <c r="A474" s="31">
        <v>1.431200163565733</v>
      </c>
      <c r="B474" s="46" t="s">
        <v>276</v>
      </c>
      <c r="C474" s="32">
        <v>0</v>
      </c>
      <c r="D474" s="32">
        <v>1</v>
      </c>
      <c r="E474" s="31">
        <v>0.50000000052480864</v>
      </c>
      <c r="F474" s="31">
        <v>0</v>
      </c>
      <c r="G474" s="31">
        <v>0</v>
      </c>
      <c r="H474" s="31">
        <v>0</v>
      </c>
      <c r="I474" s="48">
        <v>0</v>
      </c>
      <c r="J474" s="47" t="s">
        <v>277</v>
      </c>
      <c r="K474" s="32">
        <v>0</v>
      </c>
      <c r="L474" s="32">
        <v>1</v>
      </c>
      <c r="M474" s="31">
        <v>-0.50000000052480864</v>
      </c>
      <c r="N474" s="31">
        <v>0</v>
      </c>
      <c r="O474" s="31">
        <v>0</v>
      </c>
      <c r="P474" s="31">
        <v>0</v>
      </c>
      <c r="Q474" s="31">
        <v>0</v>
      </c>
      <c r="R474" s="31">
        <v>0</v>
      </c>
      <c r="S474" s="31">
        <v>0</v>
      </c>
      <c r="T474" s="31" t="s">
        <v>46</v>
      </c>
      <c r="U474" s="31" t="s">
        <v>46</v>
      </c>
    </row>
    <row r="475" spans="1:21" x14ac:dyDescent="0.2">
      <c r="A475" s="31">
        <v>1.4823144551216521</v>
      </c>
      <c r="B475" s="46" t="s">
        <v>278</v>
      </c>
      <c r="C475" s="32">
        <v>0</v>
      </c>
      <c r="D475" s="32">
        <v>1</v>
      </c>
      <c r="E475" s="31">
        <v>0.50000000052480864</v>
      </c>
      <c r="F475" s="31">
        <v>0</v>
      </c>
      <c r="G475" s="31">
        <v>0</v>
      </c>
      <c r="H475" s="31">
        <v>0</v>
      </c>
      <c r="I475" s="48">
        <v>0</v>
      </c>
      <c r="J475" s="47" t="s">
        <v>279</v>
      </c>
      <c r="K475" s="32">
        <v>0</v>
      </c>
      <c r="L475" s="32">
        <v>1</v>
      </c>
      <c r="M475" s="31">
        <v>-0.50000000052480864</v>
      </c>
      <c r="N475" s="31">
        <v>0</v>
      </c>
      <c r="O475" s="31">
        <v>0</v>
      </c>
      <c r="P475" s="31">
        <v>0</v>
      </c>
      <c r="Q475" s="31">
        <v>0</v>
      </c>
      <c r="R475" s="31">
        <v>0</v>
      </c>
      <c r="S475" s="31">
        <v>0</v>
      </c>
      <c r="T475" s="31" t="s">
        <v>46</v>
      </c>
      <c r="U475" s="31" t="s">
        <v>46</v>
      </c>
    </row>
    <row r="476" spans="1:21" x14ac:dyDescent="0.2">
      <c r="A476" s="31">
        <v>1.5334287466775711</v>
      </c>
      <c r="B476" s="46" t="s">
        <v>280</v>
      </c>
      <c r="C476" s="32">
        <v>0</v>
      </c>
      <c r="D476" s="32">
        <v>1</v>
      </c>
      <c r="E476" s="31">
        <v>0.50000000052480864</v>
      </c>
      <c r="F476" s="31">
        <v>0</v>
      </c>
      <c r="G476" s="31">
        <v>0</v>
      </c>
      <c r="H476" s="31">
        <v>0</v>
      </c>
      <c r="I476" s="31">
        <v>0</v>
      </c>
      <c r="J476" s="47" t="s">
        <v>281</v>
      </c>
      <c r="K476" s="32">
        <v>0</v>
      </c>
      <c r="L476" s="32">
        <v>1</v>
      </c>
      <c r="M476" s="31">
        <v>-0.50000000052480864</v>
      </c>
      <c r="N476" s="31">
        <v>0</v>
      </c>
      <c r="O476" s="31">
        <v>0</v>
      </c>
      <c r="P476" s="31">
        <v>0</v>
      </c>
      <c r="Q476" s="31">
        <v>0</v>
      </c>
      <c r="R476" s="31">
        <v>0</v>
      </c>
      <c r="S476" s="31">
        <v>0</v>
      </c>
      <c r="T476" s="31" t="s">
        <v>46</v>
      </c>
      <c r="U476" s="31" t="s">
        <v>46</v>
      </c>
    </row>
    <row r="477" spans="1:21" x14ac:dyDescent="0.2">
      <c r="A477" s="31">
        <v>1.5845430382334902</v>
      </c>
      <c r="B477" s="46" t="s">
        <v>282</v>
      </c>
      <c r="C477" s="32">
        <v>0</v>
      </c>
      <c r="D477" s="32">
        <v>1</v>
      </c>
      <c r="E477" s="31">
        <v>0.50000000052480864</v>
      </c>
      <c r="F477" s="31">
        <v>0</v>
      </c>
      <c r="G477" s="31">
        <v>0</v>
      </c>
      <c r="H477" s="31">
        <v>0</v>
      </c>
      <c r="I477" s="31">
        <v>0</v>
      </c>
      <c r="J477" s="47" t="s">
        <v>283</v>
      </c>
      <c r="K477" s="32">
        <v>0</v>
      </c>
      <c r="L477" s="32">
        <v>1</v>
      </c>
      <c r="M477" s="31">
        <v>-0.50000000052480864</v>
      </c>
      <c r="N477" s="31">
        <v>0</v>
      </c>
      <c r="O477" s="31">
        <v>0</v>
      </c>
      <c r="P477" s="31">
        <v>0</v>
      </c>
      <c r="Q477" s="31">
        <v>0</v>
      </c>
      <c r="R477" s="31">
        <v>0</v>
      </c>
      <c r="S477" s="31">
        <v>0</v>
      </c>
      <c r="T477" s="31" t="s">
        <v>46</v>
      </c>
      <c r="U477" s="31" t="s">
        <v>46</v>
      </c>
    </row>
    <row r="478" spans="1:21" x14ac:dyDescent="0.2">
      <c r="A478" s="31">
        <v>1.6356573297894093</v>
      </c>
      <c r="B478" s="46" t="s">
        <v>284</v>
      </c>
      <c r="C478" s="32">
        <v>0</v>
      </c>
      <c r="D478" s="32">
        <v>1</v>
      </c>
      <c r="E478" s="31">
        <v>0.50000000052480864</v>
      </c>
      <c r="F478" s="31">
        <v>0</v>
      </c>
      <c r="G478" s="31">
        <v>0</v>
      </c>
      <c r="H478" s="31">
        <v>0</v>
      </c>
      <c r="I478" s="31">
        <v>0</v>
      </c>
      <c r="J478" s="47" t="s">
        <v>285</v>
      </c>
      <c r="K478" s="32">
        <v>3.0000499999999999</v>
      </c>
      <c r="L478" s="32">
        <v>1</v>
      </c>
      <c r="M478" s="31">
        <v>-0.50000000052480864</v>
      </c>
      <c r="N478" s="31">
        <v>0</v>
      </c>
      <c r="O478" s="31">
        <v>0</v>
      </c>
      <c r="P478" s="31">
        <v>0</v>
      </c>
      <c r="Q478" s="31">
        <v>0</v>
      </c>
      <c r="R478" s="31">
        <v>0</v>
      </c>
      <c r="S478" s="31">
        <v>0</v>
      </c>
      <c r="T478" s="31" t="s">
        <v>46</v>
      </c>
      <c r="U478" s="31" t="s">
        <v>47</v>
      </c>
    </row>
    <row r="479" spans="1:21" x14ac:dyDescent="0.2">
      <c r="A479" s="31">
        <v>1.6867716213453283</v>
      </c>
      <c r="B479" s="46" t="s">
        <v>286</v>
      </c>
      <c r="C479" s="32">
        <v>0</v>
      </c>
      <c r="D479" s="32">
        <v>1</v>
      </c>
      <c r="E479" s="31">
        <v>0.50000000052480864</v>
      </c>
      <c r="F479" s="31">
        <v>0</v>
      </c>
      <c r="G479" s="31">
        <v>0</v>
      </c>
      <c r="H479" s="31">
        <v>0</v>
      </c>
      <c r="I479" s="31">
        <v>0</v>
      </c>
      <c r="J479" s="47" t="s">
        <v>287</v>
      </c>
      <c r="K479" s="32">
        <v>0</v>
      </c>
      <c r="L479" s="32">
        <v>1</v>
      </c>
      <c r="M479" s="31">
        <v>-0.50000000052480864</v>
      </c>
      <c r="N479" s="31">
        <v>0</v>
      </c>
      <c r="O479" s="31">
        <v>0</v>
      </c>
      <c r="P479" s="31">
        <v>0</v>
      </c>
      <c r="Q479" s="31">
        <v>0</v>
      </c>
      <c r="R479" s="31">
        <v>0</v>
      </c>
      <c r="S479" s="31">
        <v>0</v>
      </c>
      <c r="T479" s="31" t="s">
        <v>46</v>
      </c>
      <c r="U479" s="31" t="s">
        <v>46</v>
      </c>
    </row>
    <row r="480" spans="1:21" x14ac:dyDescent="0.2">
      <c r="A480" s="31">
        <v>0.48558576978123086</v>
      </c>
      <c r="B480" s="46" t="s">
        <v>288</v>
      </c>
      <c r="C480" s="32">
        <v>0</v>
      </c>
      <c r="D480" s="32">
        <v>1</v>
      </c>
      <c r="E480" s="31">
        <v>0.50000000052480864</v>
      </c>
      <c r="F480" s="31">
        <v>0</v>
      </c>
      <c r="G480" s="31">
        <v>0</v>
      </c>
      <c r="H480" s="31">
        <v>0</v>
      </c>
      <c r="I480" s="31">
        <v>0</v>
      </c>
      <c r="J480" s="47" t="s">
        <v>289</v>
      </c>
      <c r="K480" s="32">
        <v>0</v>
      </c>
      <c r="L480" s="32">
        <v>1</v>
      </c>
      <c r="M480" s="31">
        <v>-0.50000000052480864</v>
      </c>
      <c r="N480" s="31">
        <v>0</v>
      </c>
      <c r="O480" s="31">
        <v>0</v>
      </c>
      <c r="P480" s="31">
        <v>0</v>
      </c>
      <c r="Q480" s="31">
        <v>0</v>
      </c>
      <c r="R480" s="31">
        <v>0</v>
      </c>
      <c r="S480" s="31">
        <v>0</v>
      </c>
      <c r="T480" s="31" t="s">
        <v>46</v>
      </c>
      <c r="U480" s="31" t="s">
        <v>46</v>
      </c>
    </row>
    <row r="481" spans="1:21" x14ac:dyDescent="0.2">
      <c r="A481" s="31">
        <v>0.51114291555919034</v>
      </c>
      <c r="B481" s="46" t="s">
        <v>290</v>
      </c>
      <c r="C481" s="32">
        <v>0</v>
      </c>
      <c r="D481" s="32">
        <v>1</v>
      </c>
      <c r="E481" s="31">
        <v>0.50000000052480864</v>
      </c>
      <c r="F481" s="31">
        <v>0</v>
      </c>
      <c r="G481" s="31">
        <v>0</v>
      </c>
      <c r="H481" s="31">
        <v>0</v>
      </c>
      <c r="I481" s="31">
        <v>0</v>
      </c>
      <c r="J481" s="47" t="s">
        <v>291</v>
      </c>
      <c r="K481" s="32">
        <v>0</v>
      </c>
      <c r="L481" s="32">
        <v>1</v>
      </c>
      <c r="M481" s="31">
        <v>-0.50000000052480864</v>
      </c>
      <c r="N481" s="31">
        <v>0</v>
      </c>
      <c r="O481" s="31">
        <v>0</v>
      </c>
      <c r="P481" s="31">
        <v>0</v>
      </c>
      <c r="Q481" s="31">
        <v>0</v>
      </c>
      <c r="R481" s="31">
        <v>0</v>
      </c>
      <c r="S481" s="31">
        <v>0</v>
      </c>
      <c r="T481" s="31" t="s">
        <v>46</v>
      </c>
      <c r="U481" s="31" t="s">
        <v>46</v>
      </c>
    </row>
    <row r="482" spans="1:21" x14ac:dyDescent="0.2">
      <c r="A482" s="31">
        <v>0.5622572071151094</v>
      </c>
      <c r="B482" s="46" t="s">
        <v>292</v>
      </c>
      <c r="C482" s="32">
        <v>0</v>
      </c>
      <c r="D482" s="32">
        <v>1</v>
      </c>
      <c r="E482" s="31">
        <v>0.50000000052480864</v>
      </c>
      <c r="F482" s="31">
        <v>0</v>
      </c>
      <c r="G482" s="31">
        <v>0</v>
      </c>
      <c r="H482" s="31">
        <v>0</v>
      </c>
      <c r="I482" s="31">
        <v>0</v>
      </c>
      <c r="J482" s="47" t="s">
        <v>293</v>
      </c>
      <c r="K482" s="32">
        <v>0</v>
      </c>
      <c r="L482" s="32">
        <v>1</v>
      </c>
      <c r="M482" s="31">
        <v>-0.50000000052480864</v>
      </c>
      <c r="N482" s="31">
        <v>0</v>
      </c>
      <c r="O482" s="31">
        <v>0</v>
      </c>
      <c r="P482" s="31">
        <v>0</v>
      </c>
      <c r="Q482" s="31">
        <v>0</v>
      </c>
      <c r="R482" s="31">
        <v>0</v>
      </c>
      <c r="S482" s="31">
        <v>0</v>
      </c>
      <c r="T482" s="31" t="s">
        <v>46</v>
      </c>
      <c r="U482" s="31" t="s">
        <v>46</v>
      </c>
    </row>
    <row r="483" spans="1:21" x14ac:dyDescent="0.2">
      <c r="A483" s="31">
        <v>0.61337149867102847</v>
      </c>
      <c r="B483" s="46" t="s">
        <v>294</v>
      </c>
      <c r="C483" s="32">
        <v>0</v>
      </c>
      <c r="D483" s="32">
        <v>1</v>
      </c>
      <c r="E483" s="31">
        <v>0.50000000052480864</v>
      </c>
      <c r="F483" s="31">
        <v>0</v>
      </c>
      <c r="G483" s="31">
        <v>0</v>
      </c>
      <c r="H483" s="31">
        <v>0</v>
      </c>
      <c r="I483" s="31">
        <v>0</v>
      </c>
      <c r="J483" s="47" t="s">
        <v>295</v>
      </c>
      <c r="K483" s="32">
        <v>0</v>
      </c>
      <c r="L483" s="32">
        <v>1</v>
      </c>
      <c r="M483" s="31">
        <v>-0.50000000052480864</v>
      </c>
      <c r="N483" s="31">
        <v>0</v>
      </c>
      <c r="O483" s="31">
        <v>0</v>
      </c>
      <c r="P483" s="31">
        <v>0</v>
      </c>
      <c r="Q483" s="31">
        <v>0</v>
      </c>
      <c r="R483" s="31">
        <v>0</v>
      </c>
      <c r="S483" s="31">
        <v>0</v>
      </c>
      <c r="T483" s="31" t="s">
        <v>46</v>
      </c>
      <c r="U483" s="31" t="s">
        <v>46</v>
      </c>
    </row>
    <row r="484" spans="1:21" x14ac:dyDescent="0.2">
      <c r="A484" s="31">
        <v>0.66448579022694754</v>
      </c>
      <c r="B484" s="46" t="s">
        <v>296</v>
      </c>
      <c r="C484" s="32">
        <v>0</v>
      </c>
      <c r="D484" s="32">
        <v>1</v>
      </c>
      <c r="E484" s="31">
        <v>0.50000000052480864</v>
      </c>
      <c r="F484" s="31">
        <v>0</v>
      </c>
      <c r="G484" s="31">
        <v>0</v>
      </c>
      <c r="H484" s="31">
        <v>0</v>
      </c>
      <c r="I484" s="31">
        <v>0</v>
      </c>
      <c r="J484" s="47" t="s">
        <v>297</v>
      </c>
      <c r="K484" s="32">
        <v>0</v>
      </c>
      <c r="L484" s="32">
        <v>1</v>
      </c>
      <c r="M484" s="31">
        <v>-0.50000000052480864</v>
      </c>
      <c r="N484" s="31">
        <v>0</v>
      </c>
      <c r="O484" s="31">
        <v>0</v>
      </c>
      <c r="P484" s="31">
        <v>0</v>
      </c>
      <c r="Q484" s="31">
        <v>0</v>
      </c>
      <c r="R484" s="31">
        <v>0</v>
      </c>
      <c r="S484" s="31">
        <v>0</v>
      </c>
      <c r="T484" s="31" t="s">
        <v>46</v>
      </c>
      <c r="U484" s="31" t="s">
        <v>46</v>
      </c>
    </row>
    <row r="485" spans="1:21" x14ac:dyDescent="0.2">
      <c r="A485" s="31">
        <v>0.71560008178286649</v>
      </c>
      <c r="B485" s="46" t="s">
        <v>298</v>
      </c>
      <c r="C485" s="32">
        <v>0</v>
      </c>
      <c r="D485" s="32">
        <v>1</v>
      </c>
      <c r="E485" s="31">
        <v>0.50000000052480864</v>
      </c>
      <c r="F485" s="31">
        <v>0</v>
      </c>
      <c r="G485" s="31">
        <v>0</v>
      </c>
      <c r="H485" s="31">
        <v>0</v>
      </c>
      <c r="I485" s="31">
        <v>0</v>
      </c>
      <c r="J485" s="47" t="s">
        <v>299</v>
      </c>
      <c r="K485" s="32">
        <v>0</v>
      </c>
      <c r="L485" s="32">
        <v>1</v>
      </c>
      <c r="M485" s="31">
        <v>-0.50000000052480864</v>
      </c>
      <c r="N485" s="31">
        <v>0</v>
      </c>
      <c r="O485" s="31">
        <v>0</v>
      </c>
      <c r="P485" s="31">
        <v>0</v>
      </c>
      <c r="Q485" s="31">
        <v>0</v>
      </c>
      <c r="R485" s="31">
        <v>0</v>
      </c>
      <c r="S485" s="31">
        <v>0</v>
      </c>
      <c r="T485" s="31" t="s">
        <v>46</v>
      </c>
      <c r="U485" s="31" t="s">
        <v>46</v>
      </c>
    </row>
    <row r="486" spans="1:21" x14ac:dyDescent="0.2">
      <c r="A486" s="31">
        <v>0.76671437333878556</v>
      </c>
      <c r="B486" s="46" t="s">
        <v>300</v>
      </c>
      <c r="C486" s="32">
        <v>0</v>
      </c>
      <c r="D486" s="32">
        <v>1</v>
      </c>
      <c r="E486" s="31">
        <v>0.50000000052480864</v>
      </c>
      <c r="F486" s="31">
        <v>0</v>
      </c>
      <c r="G486" s="31">
        <v>0</v>
      </c>
      <c r="H486" s="31">
        <v>0</v>
      </c>
      <c r="I486" s="31">
        <v>0</v>
      </c>
      <c r="J486" s="47" t="s">
        <v>301</v>
      </c>
      <c r="K486" s="32">
        <v>0</v>
      </c>
      <c r="L486" s="32">
        <v>1</v>
      </c>
      <c r="M486" s="31">
        <v>-0.50000000052480864</v>
      </c>
      <c r="N486" s="31">
        <v>0</v>
      </c>
      <c r="O486" s="31">
        <v>0</v>
      </c>
      <c r="P486" s="31">
        <v>0</v>
      </c>
      <c r="Q486" s="31">
        <v>0</v>
      </c>
      <c r="R486" s="31">
        <v>0</v>
      </c>
      <c r="S486" s="31">
        <v>0</v>
      </c>
      <c r="T486" s="31" t="s">
        <v>46</v>
      </c>
      <c r="U486" s="31" t="s">
        <v>46</v>
      </c>
    </row>
    <row r="487" spans="1:21" x14ac:dyDescent="0.2">
      <c r="A487" s="31">
        <v>0.81782866489470463</v>
      </c>
      <c r="B487" s="46" t="s">
        <v>302</v>
      </c>
      <c r="C487" s="32">
        <v>0</v>
      </c>
      <c r="D487" s="32">
        <v>1</v>
      </c>
      <c r="E487" s="31">
        <v>0.50000000052480864</v>
      </c>
      <c r="F487" s="31">
        <v>0</v>
      </c>
      <c r="G487" s="31">
        <v>0</v>
      </c>
      <c r="H487" s="31">
        <v>0</v>
      </c>
      <c r="I487" s="31">
        <v>0</v>
      </c>
      <c r="J487" s="47" t="s">
        <v>303</v>
      </c>
      <c r="K487" s="32">
        <v>0</v>
      </c>
      <c r="L487" s="32">
        <v>1</v>
      </c>
      <c r="M487" s="31">
        <v>-0.50000000052480864</v>
      </c>
      <c r="N487" s="31">
        <v>0</v>
      </c>
      <c r="O487" s="31">
        <v>0</v>
      </c>
      <c r="P487" s="31">
        <v>0</v>
      </c>
      <c r="Q487" s="31">
        <v>0</v>
      </c>
      <c r="R487" s="31">
        <v>0</v>
      </c>
      <c r="S487" s="31">
        <v>0</v>
      </c>
      <c r="T487" s="31" t="s">
        <v>46</v>
      </c>
      <c r="U487" s="31" t="s">
        <v>46</v>
      </c>
    </row>
    <row r="488" spans="1:21" x14ac:dyDescent="0.2">
      <c r="A488" s="31">
        <v>0.86894295645062369</v>
      </c>
      <c r="B488" s="46" t="s">
        <v>304</v>
      </c>
      <c r="C488" s="32">
        <v>0</v>
      </c>
      <c r="D488" s="32">
        <v>1</v>
      </c>
      <c r="E488" s="31">
        <v>0.50000000052480864</v>
      </c>
      <c r="F488" s="31">
        <v>0</v>
      </c>
      <c r="G488" s="31">
        <v>0</v>
      </c>
      <c r="H488" s="31">
        <v>0</v>
      </c>
      <c r="I488" s="31">
        <v>0</v>
      </c>
      <c r="J488" s="47" t="s">
        <v>305</v>
      </c>
      <c r="K488" s="32">
        <v>0</v>
      </c>
      <c r="L488" s="32">
        <v>1</v>
      </c>
      <c r="M488" s="31">
        <v>-0.50000000052480864</v>
      </c>
      <c r="N488" s="31">
        <v>0</v>
      </c>
      <c r="O488" s="31">
        <v>0</v>
      </c>
      <c r="P488" s="31">
        <v>0</v>
      </c>
      <c r="Q488" s="31">
        <v>0</v>
      </c>
      <c r="R488" s="31">
        <v>0</v>
      </c>
      <c r="S488" s="31">
        <v>0</v>
      </c>
      <c r="T488" s="31" t="s">
        <v>46</v>
      </c>
      <c r="U488" s="31" t="s">
        <v>46</v>
      </c>
    </row>
    <row r="489" spans="1:21" x14ac:dyDescent="0.2">
      <c r="A489" s="31">
        <v>0.89450010222858323</v>
      </c>
      <c r="B489" s="46" t="s">
        <v>306</v>
      </c>
      <c r="C489" s="32">
        <v>0</v>
      </c>
      <c r="D489" s="32">
        <v>1</v>
      </c>
      <c r="E489" s="31">
        <v>0.50000000052480864</v>
      </c>
      <c r="F489" s="31">
        <v>0</v>
      </c>
      <c r="G489" s="31">
        <v>0</v>
      </c>
      <c r="H489" s="31">
        <v>0</v>
      </c>
      <c r="I489" s="48">
        <v>0</v>
      </c>
      <c r="J489" s="47" t="s">
        <v>307</v>
      </c>
      <c r="K489" s="32">
        <v>0</v>
      </c>
      <c r="L489" s="32">
        <v>1</v>
      </c>
      <c r="M489" s="31">
        <v>-0.50000000052480864</v>
      </c>
      <c r="N489" s="31">
        <v>0</v>
      </c>
      <c r="O489" s="31">
        <v>0</v>
      </c>
      <c r="P489" s="31">
        <v>0</v>
      </c>
      <c r="Q489" s="31">
        <v>0</v>
      </c>
      <c r="R489" s="31">
        <v>0</v>
      </c>
      <c r="S489" s="31">
        <v>0</v>
      </c>
      <c r="T489" s="31" t="s">
        <v>46</v>
      </c>
      <c r="U489" s="31" t="s">
        <v>46</v>
      </c>
    </row>
    <row r="490" spans="1:21" x14ac:dyDescent="0.2">
      <c r="A490" s="31">
        <v>0.92005724800654265</v>
      </c>
      <c r="B490" s="46" t="s">
        <v>308</v>
      </c>
      <c r="C490" s="32">
        <v>0</v>
      </c>
      <c r="D490" s="32">
        <v>1</v>
      </c>
      <c r="E490" s="31">
        <v>0.50000000052480864</v>
      </c>
      <c r="F490" s="31">
        <v>0</v>
      </c>
      <c r="G490" s="31">
        <v>0</v>
      </c>
      <c r="H490" s="31">
        <v>0</v>
      </c>
      <c r="I490" s="48">
        <v>0</v>
      </c>
      <c r="J490" s="47" t="s">
        <v>309</v>
      </c>
      <c r="K490" s="32">
        <v>0</v>
      </c>
      <c r="L490" s="32">
        <v>1</v>
      </c>
      <c r="M490" s="31">
        <v>-0.50000000052480864</v>
      </c>
      <c r="N490" s="31">
        <v>0</v>
      </c>
      <c r="O490" s="31">
        <v>0</v>
      </c>
      <c r="P490" s="31">
        <v>0</v>
      </c>
      <c r="Q490" s="31">
        <v>0</v>
      </c>
      <c r="R490" s="31">
        <v>0</v>
      </c>
      <c r="S490" s="31">
        <v>0</v>
      </c>
      <c r="T490" s="31" t="s">
        <v>46</v>
      </c>
      <c r="U490" s="31" t="s">
        <v>46</v>
      </c>
    </row>
    <row r="491" spans="1:21" x14ac:dyDescent="0.2">
      <c r="A491" s="31">
        <v>0.94561439378450218</v>
      </c>
      <c r="B491" s="46" t="s">
        <v>310</v>
      </c>
      <c r="C491" s="32">
        <v>0</v>
      </c>
      <c r="D491" s="32">
        <v>1</v>
      </c>
      <c r="E491" s="31">
        <v>0.50000000052480864</v>
      </c>
      <c r="F491" s="31">
        <v>0</v>
      </c>
      <c r="G491" s="31">
        <v>0</v>
      </c>
      <c r="H491" s="31">
        <v>0</v>
      </c>
      <c r="I491" s="48">
        <v>0</v>
      </c>
      <c r="J491" s="47" t="s">
        <v>311</v>
      </c>
      <c r="K491" s="32">
        <v>0</v>
      </c>
      <c r="L491" s="32">
        <v>1</v>
      </c>
      <c r="M491" s="31">
        <v>-0.50000000052480864</v>
      </c>
      <c r="N491" s="31">
        <v>0</v>
      </c>
      <c r="O491" s="31">
        <v>0</v>
      </c>
      <c r="P491" s="31">
        <v>0</v>
      </c>
      <c r="Q491" s="31">
        <v>0</v>
      </c>
      <c r="R491" s="31">
        <v>0</v>
      </c>
      <c r="S491" s="31">
        <v>0</v>
      </c>
      <c r="T491" s="31" t="s">
        <v>46</v>
      </c>
      <c r="U491" s="31" t="s">
        <v>46</v>
      </c>
    </row>
    <row r="492" spans="1:21" x14ac:dyDescent="0.2">
      <c r="A492" s="31">
        <v>0.97117153956246172</v>
      </c>
      <c r="B492" s="46" t="s">
        <v>312</v>
      </c>
      <c r="C492" s="32">
        <v>0</v>
      </c>
      <c r="D492" s="32">
        <v>1</v>
      </c>
      <c r="E492" s="31">
        <v>0.50000000052480864</v>
      </c>
      <c r="F492" s="31">
        <v>0</v>
      </c>
      <c r="G492" s="31">
        <v>0</v>
      </c>
      <c r="H492" s="31">
        <v>0</v>
      </c>
      <c r="I492" s="48">
        <v>0</v>
      </c>
      <c r="J492" s="47" t="s">
        <v>313</v>
      </c>
      <c r="K492" s="32">
        <v>0</v>
      </c>
      <c r="L492" s="32">
        <v>1</v>
      </c>
      <c r="M492" s="31">
        <v>-0.50000000052480864</v>
      </c>
      <c r="N492" s="31">
        <v>0</v>
      </c>
      <c r="O492" s="31">
        <v>0</v>
      </c>
      <c r="P492" s="31">
        <v>0</v>
      </c>
      <c r="Q492" s="31">
        <v>0</v>
      </c>
      <c r="R492" s="31">
        <v>0</v>
      </c>
      <c r="S492" s="31">
        <v>0</v>
      </c>
      <c r="T492" s="31" t="s">
        <v>46</v>
      </c>
      <c r="U492" s="31" t="s">
        <v>46</v>
      </c>
    </row>
    <row r="493" spans="1:21" x14ac:dyDescent="0.2">
      <c r="A493" s="31">
        <v>0.99672868534042125</v>
      </c>
      <c r="B493" s="46" t="s">
        <v>314</v>
      </c>
      <c r="C493" s="32">
        <v>0</v>
      </c>
      <c r="D493" s="32">
        <v>1</v>
      </c>
      <c r="E493" s="31">
        <v>0.50000000052480864</v>
      </c>
      <c r="F493" s="31">
        <v>0</v>
      </c>
      <c r="G493" s="31">
        <v>0</v>
      </c>
      <c r="H493" s="31">
        <v>0</v>
      </c>
      <c r="I493" s="48">
        <v>0</v>
      </c>
      <c r="J493" s="47" t="s">
        <v>315</v>
      </c>
      <c r="K493" s="32">
        <v>0</v>
      </c>
      <c r="L493" s="32">
        <v>1</v>
      </c>
      <c r="M493" s="31">
        <v>-0.50000000052480864</v>
      </c>
      <c r="N493" s="31">
        <v>0</v>
      </c>
      <c r="O493" s="31">
        <v>0</v>
      </c>
      <c r="P493" s="31">
        <v>0</v>
      </c>
      <c r="Q493" s="31">
        <v>0</v>
      </c>
      <c r="R493" s="31">
        <v>0</v>
      </c>
      <c r="S493" s="31">
        <v>0</v>
      </c>
      <c r="T493" s="31" t="s">
        <v>46</v>
      </c>
      <c r="U493" s="31" t="s">
        <v>46</v>
      </c>
    </row>
    <row r="494" spans="1:21" x14ac:dyDescent="0.2">
      <c r="A494" s="31">
        <v>1.0222858311183807</v>
      </c>
      <c r="B494" s="46" t="s">
        <v>316</v>
      </c>
      <c r="C494" s="32">
        <v>0</v>
      </c>
      <c r="D494" s="32">
        <v>1</v>
      </c>
      <c r="E494" s="31">
        <v>0.50000000052480864</v>
      </c>
      <c r="F494" s="31">
        <v>0</v>
      </c>
      <c r="G494" s="31">
        <v>0</v>
      </c>
      <c r="H494" s="31">
        <v>0</v>
      </c>
      <c r="I494" s="48">
        <v>0</v>
      </c>
      <c r="J494" s="47" t="s">
        <v>317</v>
      </c>
      <c r="K494" s="32">
        <v>0</v>
      </c>
      <c r="L494" s="32">
        <v>1</v>
      </c>
      <c r="M494" s="31">
        <v>-0.50000000052480864</v>
      </c>
      <c r="N494" s="31">
        <v>0</v>
      </c>
      <c r="O494" s="31">
        <v>0</v>
      </c>
      <c r="P494" s="31">
        <v>0</v>
      </c>
      <c r="Q494" s="31">
        <v>0</v>
      </c>
      <c r="R494" s="31">
        <v>0</v>
      </c>
      <c r="S494" s="31">
        <v>0</v>
      </c>
      <c r="T494" s="31" t="s">
        <v>46</v>
      </c>
      <c r="U494" s="31" t="s">
        <v>46</v>
      </c>
    </row>
    <row r="495" spans="1:21" x14ac:dyDescent="0.2">
      <c r="A495" s="31">
        <v>1.0734001226742997</v>
      </c>
      <c r="B495" s="46" t="s">
        <v>318</v>
      </c>
      <c r="C495" s="32">
        <v>0</v>
      </c>
      <c r="D495" s="32">
        <v>1</v>
      </c>
      <c r="E495" s="31">
        <v>0.50000000052480864</v>
      </c>
      <c r="F495" s="31">
        <v>0</v>
      </c>
      <c r="G495" s="31">
        <v>0</v>
      </c>
      <c r="H495" s="31">
        <v>0</v>
      </c>
      <c r="I495" s="48">
        <v>0</v>
      </c>
      <c r="J495" s="47" t="s">
        <v>319</v>
      </c>
      <c r="K495" s="32">
        <v>0</v>
      </c>
      <c r="L495" s="32">
        <v>1</v>
      </c>
      <c r="M495" s="31">
        <v>-0.50000000052480864</v>
      </c>
      <c r="N495" s="31">
        <v>0</v>
      </c>
      <c r="O495" s="31">
        <v>0</v>
      </c>
      <c r="P495" s="31">
        <v>0</v>
      </c>
      <c r="Q495" s="31">
        <v>0</v>
      </c>
      <c r="R495" s="31">
        <v>0</v>
      </c>
      <c r="S495" s="31">
        <v>0</v>
      </c>
      <c r="T495" s="31" t="s">
        <v>46</v>
      </c>
      <c r="U495" s="31" t="s">
        <v>46</v>
      </c>
    </row>
    <row r="496" spans="1:21" x14ac:dyDescent="0.2">
      <c r="A496" s="31">
        <v>1.1245144142302188</v>
      </c>
      <c r="B496" s="46" t="s">
        <v>320</v>
      </c>
      <c r="C496" s="32">
        <v>0</v>
      </c>
      <c r="D496" s="32">
        <v>1</v>
      </c>
      <c r="E496" s="31">
        <v>0.50000000052480864</v>
      </c>
      <c r="F496" s="31">
        <v>0</v>
      </c>
      <c r="G496" s="31">
        <v>0</v>
      </c>
      <c r="H496" s="31">
        <v>0</v>
      </c>
      <c r="I496" s="48">
        <v>0</v>
      </c>
      <c r="J496" s="47" t="s">
        <v>321</v>
      </c>
      <c r="K496" s="32">
        <v>0</v>
      </c>
      <c r="L496" s="32">
        <v>1</v>
      </c>
      <c r="M496" s="31">
        <v>-0.50000000052480864</v>
      </c>
      <c r="N496" s="31">
        <v>0</v>
      </c>
      <c r="O496" s="31">
        <v>0</v>
      </c>
      <c r="P496" s="31">
        <v>0</v>
      </c>
      <c r="Q496" s="31">
        <v>0</v>
      </c>
      <c r="R496" s="31">
        <v>0</v>
      </c>
      <c r="S496" s="31">
        <v>0</v>
      </c>
      <c r="T496" s="31" t="s">
        <v>46</v>
      </c>
      <c r="U496" s="31" t="s">
        <v>46</v>
      </c>
    </row>
    <row r="497" spans="1:21" x14ac:dyDescent="0.2">
      <c r="A497" s="31">
        <v>1.1756287057861379</v>
      </c>
      <c r="B497" s="46" t="s">
        <v>322</v>
      </c>
      <c r="C497" s="32">
        <v>0</v>
      </c>
      <c r="D497" s="32">
        <v>1</v>
      </c>
      <c r="E497" s="31">
        <v>0.50000000052480864</v>
      </c>
      <c r="F497" s="31">
        <v>0</v>
      </c>
      <c r="G497" s="31">
        <v>0</v>
      </c>
      <c r="H497" s="31">
        <v>0</v>
      </c>
      <c r="I497" s="48">
        <v>0</v>
      </c>
      <c r="J497" s="47" t="s">
        <v>323</v>
      </c>
      <c r="K497" s="32">
        <v>0</v>
      </c>
      <c r="L497" s="32">
        <v>1</v>
      </c>
      <c r="M497" s="31">
        <v>-0.50000000052480864</v>
      </c>
      <c r="N497" s="31">
        <v>0</v>
      </c>
      <c r="O497" s="31">
        <v>0</v>
      </c>
      <c r="P497" s="31">
        <v>0</v>
      </c>
      <c r="Q497" s="31">
        <v>0</v>
      </c>
      <c r="R497" s="31">
        <v>0</v>
      </c>
      <c r="S497" s="31">
        <v>0</v>
      </c>
      <c r="T497" s="31" t="s">
        <v>46</v>
      </c>
      <c r="U497" s="31" t="s">
        <v>46</v>
      </c>
    </row>
    <row r="498" spans="1:21" x14ac:dyDescent="0.2">
      <c r="A498" s="31">
        <v>1.2267429973420569</v>
      </c>
      <c r="B498" s="46" t="s">
        <v>324</v>
      </c>
      <c r="C498" s="32">
        <v>0</v>
      </c>
      <c r="D498" s="32">
        <v>1</v>
      </c>
      <c r="E498" s="31">
        <v>0.50000000052480864</v>
      </c>
      <c r="F498" s="31">
        <v>0</v>
      </c>
      <c r="G498" s="31">
        <v>0</v>
      </c>
      <c r="H498" s="31">
        <v>0</v>
      </c>
      <c r="I498" s="48">
        <v>0</v>
      </c>
      <c r="J498" s="47" t="s">
        <v>325</v>
      </c>
      <c r="K498" s="32">
        <v>0</v>
      </c>
      <c r="L498" s="32">
        <v>1</v>
      </c>
      <c r="M498" s="31">
        <v>-0.50000000052480864</v>
      </c>
      <c r="N498" s="31">
        <v>0</v>
      </c>
      <c r="O498" s="31">
        <v>0</v>
      </c>
      <c r="P498" s="31">
        <v>0</v>
      </c>
      <c r="Q498" s="31">
        <v>0</v>
      </c>
      <c r="R498" s="31">
        <v>0</v>
      </c>
      <c r="S498" s="31">
        <v>0</v>
      </c>
      <c r="T498" s="31" t="s">
        <v>46</v>
      </c>
      <c r="U498" s="31" t="s">
        <v>46</v>
      </c>
    </row>
    <row r="499" spans="1:21" x14ac:dyDescent="0.2">
      <c r="A499" s="31">
        <v>1.277857288897976</v>
      </c>
      <c r="B499" s="46" t="s">
        <v>326</v>
      </c>
      <c r="C499" s="32">
        <v>0</v>
      </c>
      <c r="D499" s="32">
        <v>1</v>
      </c>
      <c r="E499" s="31">
        <v>0.50000000052480864</v>
      </c>
      <c r="F499" s="31">
        <v>0</v>
      </c>
      <c r="G499" s="31">
        <v>0</v>
      </c>
      <c r="H499" s="31">
        <v>0</v>
      </c>
      <c r="I499" s="48">
        <v>0</v>
      </c>
      <c r="J499" s="47" t="s">
        <v>327</v>
      </c>
      <c r="K499" s="32">
        <v>0</v>
      </c>
      <c r="L499" s="32">
        <v>1</v>
      </c>
      <c r="M499" s="31">
        <v>-0.50000000052480864</v>
      </c>
      <c r="N499" s="31">
        <v>0</v>
      </c>
      <c r="O499" s="31">
        <v>0</v>
      </c>
      <c r="P499" s="31">
        <v>0</v>
      </c>
      <c r="Q499" s="31">
        <v>0</v>
      </c>
      <c r="R499" s="31">
        <v>0</v>
      </c>
      <c r="S499" s="31">
        <v>0</v>
      </c>
      <c r="T499" s="31" t="s">
        <v>46</v>
      </c>
      <c r="U499" s="31" t="s">
        <v>46</v>
      </c>
    </row>
    <row r="500" spans="1:21" x14ac:dyDescent="0.2">
      <c r="A500" s="31">
        <v>1.3289715804538951</v>
      </c>
      <c r="B500" s="46" t="s">
        <v>328</v>
      </c>
      <c r="C500" s="32">
        <v>0</v>
      </c>
      <c r="D500" s="32">
        <v>1</v>
      </c>
      <c r="E500" s="31">
        <v>0.50000000052480864</v>
      </c>
      <c r="F500" s="31">
        <v>0</v>
      </c>
      <c r="G500" s="31">
        <v>0</v>
      </c>
      <c r="H500" s="31">
        <v>0</v>
      </c>
      <c r="I500" s="48">
        <v>0</v>
      </c>
      <c r="J500" s="47" t="s">
        <v>329</v>
      </c>
      <c r="K500" s="32">
        <v>0</v>
      </c>
      <c r="L500" s="32">
        <v>1</v>
      </c>
      <c r="M500" s="31">
        <v>-0.50000000052480864</v>
      </c>
      <c r="N500" s="31">
        <v>0</v>
      </c>
      <c r="O500" s="31">
        <v>0</v>
      </c>
      <c r="P500" s="31">
        <v>0</v>
      </c>
      <c r="Q500" s="31">
        <v>0</v>
      </c>
      <c r="R500" s="31">
        <v>0</v>
      </c>
      <c r="S500" s="31">
        <v>0</v>
      </c>
      <c r="T500" s="31" t="s">
        <v>46</v>
      </c>
      <c r="U500" s="31" t="s">
        <v>46</v>
      </c>
    </row>
    <row r="501" spans="1:21" x14ac:dyDescent="0.2">
      <c r="A501" s="31">
        <v>1.3800858720098141</v>
      </c>
      <c r="B501" s="46" t="s">
        <v>330</v>
      </c>
      <c r="C501" s="32">
        <v>0</v>
      </c>
      <c r="D501" s="32">
        <v>1</v>
      </c>
      <c r="E501" s="31">
        <v>0.50000000052480864</v>
      </c>
      <c r="F501" s="31">
        <v>0</v>
      </c>
      <c r="G501" s="31">
        <v>0</v>
      </c>
      <c r="H501" s="31">
        <v>0</v>
      </c>
      <c r="I501" s="48">
        <v>0</v>
      </c>
      <c r="J501" s="47" t="s">
        <v>331</v>
      </c>
      <c r="K501" s="32">
        <v>0</v>
      </c>
      <c r="L501" s="32">
        <v>1</v>
      </c>
      <c r="M501" s="31">
        <v>-0.50000000052480864</v>
      </c>
      <c r="N501" s="31">
        <v>0</v>
      </c>
      <c r="O501" s="31">
        <v>0</v>
      </c>
      <c r="P501" s="31">
        <v>0</v>
      </c>
      <c r="Q501" s="31">
        <v>0</v>
      </c>
      <c r="R501" s="31">
        <v>0</v>
      </c>
      <c r="S501" s="31">
        <v>0</v>
      </c>
      <c r="T501" s="31" t="s">
        <v>46</v>
      </c>
      <c r="U501" s="31" t="s">
        <v>46</v>
      </c>
    </row>
    <row r="502" spans="1:21" x14ac:dyDescent="0.2">
      <c r="A502" s="31">
        <v>1.431200163565733</v>
      </c>
      <c r="B502" s="46" t="s">
        <v>332</v>
      </c>
      <c r="C502" s="32">
        <v>0</v>
      </c>
      <c r="D502" s="32">
        <v>1</v>
      </c>
      <c r="E502" s="31">
        <v>0.50000000052480864</v>
      </c>
      <c r="F502" s="31">
        <v>0</v>
      </c>
      <c r="G502" s="31">
        <v>0</v>
      </c>
      <c r="H502" s="31">
        <v>0</v>
      </c>
      <c r="I502" s="48">
        <v>0</v>
      </c>
      <c r="J502" s="47" t="s">
        <v>333</v>
      </c>
      <c r="K502" s="32">
        <v>0</v>
      </c>
      <c r="L502" s="32">
        <v>1</v>
      </c>
      <c r="M502" s="31">
        <v>-0.50000000052480864</v>
      </c>
      <c r="N502" s="31">
        <v>0</v>
      </c>
      <c r="O502" s="31">
        <v>0</v>
      </c>
      <c r="P502" s="31">
        <v>0</v>
      </c>
      <c r="Q502" s="31">
        <v>0</v>
      </c>
      <c r="R502" s="31">
        <v>0</v>
      </c>
      <c r="S502" s="31">
        <v>0</v>
      </c>
      <c r="T502" s="31" t="s">
        <v>46</v>
      </c>
      <c r="U502" s="31" t="s">
        <v>46</v>
      </c>
    </row>
    <row r="503" spans="1:21" x14ac:dyDescent="0.2">
      <c r="A503" s="31">
        <v>1.4823144551216521</v>
      </c>
      <c r="B503" s="46" t="s">
        <v>334</v>
      </c>
      <c r="C503" s="32">
        <v>0</v>
      </c>
      <c r="D503" s="32">
        <v>1</v>
      </c>
      <c r="E503" s="31">
        <v>0.50000000052480864</v>
      </c>
      <c r="F503" s="31">
        <v>0</v>
      </c>
      <c r="G503" s="31">
        <v>0</v>
      </c>
      <c r="H503" s="31">
        <v>0</v>
      </c>
      <c r="I503" s="48">
        <v>0</v>
      </c>
      <c r="J503" s="47" t="s">
        <v>335</v>
      </c>
      <c r="K503" s="32">
        <v>0</v>
      </c>
      <c r="L503" s="32">
        <v>1</v>
      </c>
      <c r="M503" s="31">
        <v>-0.50000000052480864</v>
      </c>
      <c r="N503" s="31">
        <v>0</v>
      </c>
      <c r="O503" s="31">
        <v>0</v>
      </c>
      <c r="P503" s="31">
        <v>0</v>
      </c>
      <c r="Q503" s="31">
        <v>0</v>
      </c>
      <c r="R503" s="31">
        <v>0</v>
      </c>
      <c r="S503" s="31">
        <v>0</v>
      </c>
      <c r="T503" s="31" t="s">
        <v>46</v>
      </c>
      <c r="U503" s="31" t="s">
        <v>46</v>
      </c>
    </row>
    <row r="504" spans="1:21" x14ac:dyDescent="0.2">
      <c r="A504" s="31">
        <v>1.5334287466775711</v>
      </c>
      <c r="B504" s="46" t="s">
        <v>336</v>
      </c>
      <c r="C504" s="32">
        <v>0</v>
      </c>
      <c r="D504" s="32">
        <v>1</v>
      </c>
      <c r="E504" s="31">
        <v>0.50000000052480864</v>
      </c>
      <c r="F504" s="31">
        <v>0</v>
      </c>
      <c r="G504" s="31">
        <v>0</v>
      </c>
      <c r="H504" s="31">
        <v>0</v>
      </c>
      <c r="I504" s="48">
        <v>0</v>
      </c>
      <c r="J504" s="47" t="s">
        <v>337</v>
      </c>
      <c r="K504" s="32">
        <v>0</v>
      </c>
      <c r="L504" s="32">
        <v>1</v>
      </c>
      <c r="M504" s="31">
        <v>-0.50000000052480864</v>
      </c>
      <c r="N504" s="31">
        <v>0</v>
      </c>
      <c r="O504" s="31">
        <v>0</v>
      </c>
      <c r="P504" s="31">
        <v>0</v>
      </c>
      <c r="Q504" s="31">
        <v>0</v>
      </c>
      <c r="R504" s="31">
        <v>0</v>
      </c>
      <c r="S504" s="31">
        <v>0</v>
      </c>
      <c r="T504" s="31" t="s">
        <v>46</v>
      </c>
      <c r="U504" s="31" t="s">
        <v>46</v>
      </c>
    </row>
    <row r="505" spans="1:21" x14ac:dyDescent="0.2">
      <c r="A505" s="31">
        <v>1.5845430382334902</v>
      </c>
      <c r="B505" s="46" t="s">
        <v>338</v>
      </c>
      <c r="C505" s="32">
        <v>0</v>
      </c>
      <c r="D505" s="32">
        <v>1</v>
      </c>
      <c r="E505" s="31">
        <v>0.50000000052480864</v>
      </c>
      <c r="F505" s="31">
        <v>0</v>
      </c>
      <c r="G505" s="31">
        <v>0</v>
      </c>
      <c r="H505" s="31">
        <v>0</v>
      </c>
      <c r="I505" s="48">
        <v>0</v>
      </c>
      <c r="J505" s="47" t="s">
        <v>339</v>
      </c>
      <c r="K505" s="32">
        <v>0</v>
      </c>
      <c r="L505" s="32">
        <v>1</v>
      </c>
      <c r="M505" s="31">
        <v>-0.50000000052480864</v>
      </c>
      <c r="N505" s="31">
        <v>0</v>
      </c>
      <c r="O505" s="31">
        <v>0</v>
      </c>
      <c r="P505" s="31">
        <v>0</v>
      </c>
      <c r="Q505" s="31">
        <v>0</v>
      </c>
      <c r="R505" s="31">
        <v>0</v>
      </c>
      <c r="S505" s="31">
        <v>0</v>
      </c>
      <c r="T505" s="31" t="s">
        <v>46</v>
      </c>
      <c r="U505" s="31" t="s">
        <v>46</v>
      </c>
    </row>
    <row r="506" spans="1:21" x14ac:dyDescent="0.2">
      <c r="A506" s="31">
        <v>1.6356573297894093</v>
      </c>
      <c r="B506" s="46" t="s">
        <v>340</v>
      </c>
      <c r="C506" s="32">
        <v>0</v>
      </c>
      <c r="D506" s="32">
        <v>1</v>
      </c>
      <c r="E506" s="31">
        <v>0.50000000052480864</v>
      </c>
      <c r="F506" s="31">
        <v>0</v>
      </c>
      <c r="G506" s="31">
        <v>0</v>
      </c>
      <c r="H506" s="31">
        <v>0</v>
      </c>
      <c r="I506" s="48">
        <v>0</v>
      </c>
      <c r="J506" s="48" t="s">
        <v>341</v>
      </c>
      <c r="K506" s="32">
        <v>0</v>
      </c>
      <c r="L506" s="32">
        <v>1</v>
      </c>
      <c r="M506" s="31">
        <v>-0.50000000052480864</v>
      </c>
      <c r="N506" s="31">
        <v>0</v>
      </c>
      <c r="O506" s="31">
        <v>0</v>
      </c>
      <c r="P506" s="31">
        <v>0</v>
      </c>
      <c r="Q506" s="31">
        <v>0</v>
      </c>
      <c r="R506" s="31">
        <v>0</v>
      </c>
      <c r="S506" s="31">
        <v>0</v>
      </c>
      <c r="T506" s="31" t="s">
        <v>46</v>
      </c>
      <c r="U506" s="31" t="s">
        <v>46</v>
      </c>
    </row>
    <row r="507" spans="1:21" x14ac:dyDescent="0.2">
      <c r="A507" s="31">
        <v>1.6867716213453283</v>
      </c>
      <c r="B507" s="46" t="s">
        <v>342</v>
      </c>
      <c r="C507" s="32">
        <v>0</v>
      </c>
      <c r="D507" s="32">
        <v>1</v>
      </c>
      <c r="E507" s="31">
        <v>0.50000000052480864</v>
      </c>
      <c r="F507" s="31">
        <v>0</v>
      </c>
      <c r="G507" s="31">
        <v>0</v>
      </c>
      <c r="H507" s="31">
        <v>0</v>
      </c>
      <c r="I507" s="48">
        <v>0</v>
      </c>
      <c r="J507" s="48" t="s">
        <v>343</v>
      </c>
      <c r="K507" s="32">
        <v>0</v>
      </c>
      <c r="L507" s="32">
        <v>1</v>
      </c>
      <c r="M507" s="31">
        <v>-0.50000000052480864</v>
      </c>
      <c r="N507" s="31">
        <v>0</v>
      </c>
      <c r="O507" s="31">
        <v>0</v>
      </c>
      <c r="P507" s="31">
        <v>0</v>
      </c>
      <c r="Q507" s="31">
        <v>0</v>
      </c>
      <c r="R507" s="31">
        <v>0</v>
      </c>
      <c r="S507" s="31">
        <v>0</v>
      </c>
      <c r="T507" s="31" t="s">
        <v>46</v>
      </c>
      <c r="U507" s="31" t="s">
        <v>46</v>
      </c>
    </row>
    <row r="508" spans="1:21" x14ac:dyDescent="0.2">
      <c r="A508" s="31">
        <v>1.7378859129012474</v>
      </c>
      <c r="B508" s="46" t="s">
        <v>344</v>
      </c>
      <c r="C508" s="32">
        <v>0</v>
      </c>
      <c r="D508" s="32">
        <v>1</v>
      </c>
      <c r="E508" s="31">
        <v>0.50000000052480864</v>
      </c>
      <c r="F508" s="31">
        <v>0</v>
      </c>
      <c r="G508" s="31">
        <v>0</v>
      </c>
      <c r="H508" s="31">
        <v>0</v>
      </c>
      <c r="I508" s="48">
        <v>0</v>
      </c>
      <c r="J508" s="48" t="s">
        <v>345</v>
      </c>
      <c r="K508" s="32">
        <v>0</v>
      </c>
      <c r="L508" s="32">
        <v>1</v>
      </c>
      <c r="M508" s="31">
        <v>-0.50000000052480864</v>
      </c>
      <c r="N508" s="31">
        <v>0</v>
      </c>
      <c r="O508" s="31">
        <v>0</v>
      </c>
      <c r="P508" s="31">
        <v>0</v>
      </c>
      <c r="Q508" s="31">
        <v>0</v>
      </c>
      <c r="R508" s="31">
        <v>0</v>
      </c>
      <c r="S508" s="31">
        <v>0</v>
      </c>
      <c r="T508" s="31" t="s">
        <v>46</v>
      </c>
      <c r="U508" s="31" t="s">
        <v>46</v>
      </c>
    </row>
    <row r="509" spans="1:21" x14ac:dyDescent="0.2">
      <c r="A509" s="31">
        <v>1.7890002044571665</v>
      </c>
      <c r="B509" s="46" t="s">
        <v>346</v>
      </c>
      <c r="C509" s="32">
        <v>0</v>
      </c>
      <c r="D509" s="32">
        <v>1</v>
      </c>
      <c r="E509" s="31">
        <v>0.50000000052480864</v>
      </c>
      <c r="F509" s="31">
        <v>0</v>
      </c>
      <c r="G509" s="31">
        <v>0</v>
      </c>
      <c r="H509" s="31">
        <v>0</v>
      </c>
      <c r="I509" s="48">
        <v>0</v>
      </c>
      <c r="J509" s="48" t="s">
        <v>347</v>
      </c>
      <c r="K509" s="32">
        <v>0</v>
      </c>
      <c r="L509" s="32">
        <v>1</v>
      </c>
      <c r="M509" s="31">
        <v>-0.50000000052480864</v>
      </c>
      <c r="N509" s="31">
        <v>0</v>
      </c>
      <c r="O509" s="31">
        <v>0</v>
      </c>
      <c r="P509" s="31">
        <v>0</v>
      </c>
      <c r="Q509" s="31">
        <v>0</v>
      </c>
      <c r="R509" s="31">
        <v>0</v>
      </c>
      <c r="S509" s="31">
        <v>0</v>
      </c>
      <c r="T509" s="31" t="s">
        <v>46</v>
      </c>
      <c r="U509" s="31" t="s">
        <v>46</v>
      </c>
    </row>
    <row r="510" spans="1:21" x14ac:dyDescent="0.2">
      <c r="A510" s="31">
        <v>1.8401144960130853</v>
      </c>
      <c r="B510" s="46" t="s">
        <v>348</v>
      </c>
      <c r="C510" s="32">
        <v>0</v>
      </c>
      <c r="D510" s="32">
        <v>1</v>
      </c>
      <c r="E510" s="31">
        <v>0.50000000052480864</v>
      </c>
      <c r="F510" s="31">
        <v>0</v>
      </c>
      <c r="G510" s="31">
        <v>0</v>
      </c>
      <c r="H510" s="31">
        <v>0</v>
      </c>
      <c r="I510" s="48">
        <v>0</v>
      </c>
      <c r="J510" s="47" t="s">
        <v>349</v>
      </c>
      <c r="K510" s="32">
        <v>0</v>
      </c>
      <c r="L510" s="32">
        <v>1</v>
      </c>
      <c r="M510" s="31">
        <v>-0.50000000052480864</v>
      </c>
      <c r="N510" s="31">
        <v>0</v>
      </c>
      <c r="O510" s="31">
        <v>0</v>
      </c>
      <c r="P510" s="31">
        <v>0</v>
      </c>
      <c r="Q510" s="31">
        <v>0</v>
      </c>
      <c r="R510" s="31">
        <v>0</v>
      </c>
      <c r="S510" s="31">
        <v>0</v>
      </c>
      <c r="T510" s="31" t="s">
        <v>46</v>
      </c>
      <c r="U510" s="31" t="s">
        <v>46</v>
      </c>
    </row>
    <row r="511" spans="1:21" x14ac:dyDescent="0.2">
      <c r="A511" s="31">
        <v>1.0625637538252295</v>
      </c>
      <c r="B511" s="46" t="s">
        <v>350</v>
      </c>
      <c r="C511" s="32">
        <v>0</v>
      </c>
      <c r="D511" s="32">
        <v>1</v>
      </c>
      <c r="E511" s="31">
        <v>0.50000000052480864</v>
      </c>
      <c r="F511" s="31">
        <v>0</v>
      </c>
      <c r="G511" s="31">
        <v>0</v>
      </c>
      <c r="H511" s="31">
        <v>0</v>
      </c>
      <c r="I511" s="48">
        <v>0</v>
      </c>
      <c r="J511" s="47" t="s">
        <v>351</v>
      </c>
      <c r="K511" s="32">
        <v>0</v>
      </c>
      <c r="L511" s="32">
        <v>1</v>
      </c>
      <c r="M511" s="31">
        <v>-0.50000000052480864</v>
      </c>
      <c r="N511" s="31">
        <v>0</v>
      </c>
      <c r="O511" s="31">
        <v>0</v>
      </c>
      <c r="P511" s="31">
        <v>0</v>
      </c>
      <c r="Q511" s="31">
        <v>0</v>
      </c>
      <c r="R511" s="31">
        <v>0</v>
      </c>
      <c r="S511" s="31">
        <v>0</v>
      </c>
      <c r="T511" s="31" t="s">
        <v>46</v>
      </c>
      <c r="U511" s="31" t="s">
        <v>46</v>
      </c>
    </row>
    <row r="512" spans="1:21" x14ac:dyDescent="0.2">
      <c r="A512" s="31">
        <v>1.0696475121840643</v>
      </c>
      <c r="B512" s="46" t="s">
        <v>352</v>
      </c>
      <c r="C512" s="32">
        <v>0</v>
      </c>
      <c r="D512" s="32">
        <v>1</v>
      </c>
      <c r="E512" s="31">
        <v>0.50000000052480864</v>
      </c>
      <c r="F512" s="31">
        <v>0</v>
      </c>
      <c r="G512" s="31">
        <v>0</v>
      </c>
      <c r="H512" s="31">
        <v>0</v>
      </c>
      <c r="I512" s="48">
        <v>0</v>
      </c>
      <c r="J512" s="47" t="s">
        <v>353</v>
      </c>
      <c r="K512" s="32">
        <v>0</v>
      </c>
      <c r="L512" s="32">
        <v>1</v>
      </c>
      <c r="M512" s="31">
        <v>-0.50000000052480864</v>
      </c>
      <c r="N512" s="31">
        <v>0</v>
      </c>
      <c r="O512" s="31">
        <v>0</v>
      </c>
      <c r="P512" s="31">
        <v>0</v>
      </c>
      <c r="Q512" s="31">
        <v>0</v>
      </c>
      <c r="R512" s="31">
        <v>0</v>
      </c>
      <c r="S512" s="31">
        <v>0</v>
      </c>
      <c r="T512" s="31" t="s">
        <v>46</v>
      </c>
      <c r="U512" s="31" t="s">
        <v>46</v>
      </c>
    </row>
    <row r="513" spans="1:21" x14ac:dyDescent="0.2">
      <c r="A513" s="31">
        <v>1.0767312705428993</v>
      </c>
      <c r="B513" s="46" t="s">
        <v>354</v>
      </c>
      <c r="C513" s="32">
        <v>0</v>
      </c>
      <c r="D513" s="32">
        <v>1</v>
      </c>
      <c r="E513" s="31">
        <v>0.50000000052480864</v>
      </c>
      <c r="F513" s="31">
        <v>0</v>
      </c>
      <c r="G513" s="31">
        <v>0</v>
      </c>
      <c r="H513" s="31">
        <v>0</v>
      </c>
      <c r="I513" s="48">
        <v>0</v>
      </c>
      <c r="J513" s="47" t="s">
        <v>355</v>
      </c>
      <c r="K513" s="32">
        <v>0</v>
      </c>
      <c r="L513" s="32">
        <v>1</v>
      </c>
      <c r="M513" s="31">
        <v>-0.50000000052480864</v>
      </c>
      <c r="N513" s="31">
        <v>0</v>
      </c>
      <c r="O513" s="31">
        <v>0</v>
      </c>
      <c r="P513" s="31">
        <v>0</v>
      </c>
      <c r="Q513" s="31">
        <v>0</v>
      </c>
      <c r="R513" s="31">
        <v>0</v>
      </c>
      <c r="S513" s="31">
        <v>0</v>
      </c>
      <c r="T513" s="31" t="s">
        <v>46</v>
      </c>
      <c r="U513" s="31" t="s">
        <v>46</v>
      </c>
    </row>
    <row r="514" spans="1:21" x14ac:dyDescent="0.2">
      <c r="A514" s="31">
        <v>1.0838150289017341</v>
      </c>
      <c r="B514" s="46" t="s">
        <v>356</v>
      </c>
      <c r="C514" s="32">
        <v>0</v>
      </c>
      <c r="D514" s="32">
        <v>1</v>
      </c>
      <c r="E514" s="31">
        <v>0.50000000052480864</v>
      </c>
      <c r="F514" s="31">
        <v>0</v>
      </c>
      <c r="G514" s="31">
        <v>0</v>
      </c>
      <c r="H514" s="31">
        <v>0</v>
      </c>
      <c r="I514" s="48">
        <v>0</v>
      </c>
      <c r="J514" s="47" t="s">
        <v>357</v>
      </c>
      <c r="K514" s="32">
        <v>0</v>
      </c>
      <c r="L514" s="32">
        <v>1</v>
      </c>
      <c r="M514" s="31">
        <v>-0.50000000052480864</v>
      </c>
      <c r="N514" s="31">
        <v>0</v>
      </c>
      <c r="O514" s="31">
        <v>0</v>
      </c>
      <c r="P514" s="31">
        <v>0</v>
      </c>
      <c r="Q514" s="31">
        <v>0</v>
      </c>
      <c r="R514" s="31">
        <v>0</v>
      </c>
      <c r="S514" s="31">
        <v>0</v>
      </c>
      <c r="T514" s="31" t="s">
        <v>46</v>
      </c>
      <c r="U514" s="31" t="s">
        <v>46</v>
      </c>
    </row>
    <row r="515" spans="1:21" x14ac:dyDescent="0.2">
      <c r="A515" s="31">
        <v>1.0908987872605689</v>
      </c>
      <c r="B515" s="46" t="s">
        <v>358</v>
      </c>
      <c r="C515" s="32">
        <v>0</v>
      </c>
      <c r="D515" s="32">
        <v>1</v>
      </c>
      <c r="E515" s="31">
        <v>0.50000000052480864</v>
      </c>
      <c r="F515" s="31">
        <v>0</v>
      </c>
      <c r="G515" s="31">
        <v>0</v>
      </c>
      <c r="H515" s="31">
        <v>0</v>
      </c>
      <c r="I515" s="48">
        <v>0</v>
      </c>
      <c r="J515" s="47" t="s">
        <v>359</v>
      </c>
      <c r="K515" s="32">
        <v>0</v>
      </c>
      <c r="L515" s="32">
        <v>1</v>
      </c>
      <c r="M515" s="31">
        <v>-0.50000000052480864</v>
      </c>
      <c r="N515" s="31">
        <v>0</v>
      </c>
      <c r="O515" s="31">
        <v>0</v>
      </c>
      <c r="P515" s="31">
        <v>0</v>
      </c>
      <c r="Q515" s="31">
        <v>0</v>
      </c>
      <c r="R515" s="31">
        <v>0</v>
      </c>
      <c r="S515" s="31">
        <v>0</v>
      </c>
      <c r="T515" s="31" t="s">
        <v>46</v>
      </c>
      <c r="U515" s="31" t="s">
        <v>46</v>
      </c>
    </row>
    <row r="516" spans="1:21" x14ac:dyDescent="0.2">
      <c r="A516" s="31">
        <v>1.0979825456194037</v>
      </c>
      <c r="B516" s="46" t="s">
        <v>360</v>
      </c>
      <c r="C516" s="32">
        <v>0</v>
      </c>
      <c r="D516" s="32">
        <v>1</v>
      </c>
      <c r="E516" s="31">
        <v>0.50000000052480864</v>
      </c>
      <c r="F516" s="31">
        <v>0</v>
      </c>
      <c r="G516" s="31">
        <v>0</v>
      </c>
      <c r="H516" s="31">
        <v>0</v>
      </c>
      <c r="I516" s="48">
        <v>0</v>
      </c>
      <c r="J516" s="47" t="s">
        <v>361</v>
      </c>
      <c r="K516" s="32">
        <v>0</v>
      </c>
      <c r="L516" s="32">
        <v>1</v>
      </c>
      <c r="M516" s="31">
        <v>-0.50000000052480864</v>
      </c>
      <c r="N516" s="31">
        <v>0</v>
      </c>
      <c r="O516" s="31">
        <v>0</v>
      </c>
      <c r="P516" s="31">
        <v>0</v>
      </c>
      <c r="Q516" s="31">
        <v>0</v>
      </c>
      <c r="R516" s="31">
        <v>0</v>
      </c>
      <c r="S516" s="31">
        <v>0</v>
      </c>
      <c r="T516" s="31" t="s">
        <v>46</v>
      </c>
      <c r="U516" s="31" t="s">
        <v>46</v>
      </c>
    </row>
    <row r="517" spans="1:21" x14ac:dyDescent="0.2">
      <c r="A517" s="31">
        <v>1.1050663039782387</v>
      </c>
      <c r="B517" s="46" t="s">
        <v>362</v>
      </c>
      <c r="C517" s="32">
        <v>0</v>
      </c>
      <c r="D517" s="32">
        <v>1</v>
      </c>
      <c r="E517" s="31">
        <v>0.50000000052480864</v>
      </c>
      <c r="F517" s="31">
        <v>0</v>
      </c>
      <c r="G517" s="31">
        <v>0</v>
      </c>
      <c r="H517" s="31">
        <v>0</v>
      </c>
      <c r="I517" s="48">
        <v>0</v>
      </c>
      <c r="J517" s="47" t="s">
        <v>363</v>
      </c>
      <c r="K517" s="32">
        <v>0</v>
      </c>
      <c r="L517" s="32">
        <v>1</v>
      </c>
      <c r="M517" s="31">
        <v>-0.50000000052480864</v>
      </c>
      <c r="N517" s="31">
        <v>0</v>
      </c>
      <c r="O517" s="31">
        <v>0</v>
      </c>
      <c r="P517" s="31">
        <v>0</v>
      </c>
      <c r="Q517" s="31">
        <v>0</v>
      </c>
      <c r="R517" s="31">
        <v>0</v>
      </c>
      <c r="S517" s="31">
        <v>0</v>
      </c>
      <c r="T517" s="31" t="s">
        <v>46</v>
      </c>
      <c r="U517" s="31" t="s">
        <v>46</v>
      </c>
    </row>
    <row r="518" spans="1:21" x14ac:dyDescent="0.2">
      <c r="A518" s="31">
        <v>1.1121500623370735</v>
      </c>
      <c r="B518" s="46" t="s">
        <v>364</v>
      </c>
      <c r="C518" s="32">
        <v>0</v>
      </c>
      <c r="D518" s="32">
        <v>1</v>
      </c>
      <c r="E518" s="31">
        <v>0.50000000052480864</v>
      </c>
      <c r="F518" s="31">
        <v>0</v>
      </c>
      <c r="G518" s="31">
        <v>0</v>
      </c>
      <c r="H518" s="31">
        <v>0</v>
      </c>
      <c r="I518" s="48">
        <v>0</v>
      </c>
      <c r="J518" s="47" t="s">
        <v>365</v>
      </c>
      <c r="K518" s="32">
        <v>0</v>
      </c>
      <c r="L518" s="32">
        <v>1</v>
      </c>
      <c r="M518" s="31">
        <v>-0.50000000052480864</v>
      </c>
      <c r="N518" s="31">
        <v>0</v>
      </c>
      <c r="O518" s="31">
        <v>0</v>
      </c>
      <c r="P518" s="31">
        <v>0</v>
      </c>
      <c r="Q518" s="31">
        <v>0</v>
      </c>
      <c r="R518" s="31">
        <v>0</v>
      </c>
      <c r="S518" s="31">
        <v>0</v>
      </c>
      <c r="T518" s="31" t="s">
        <v>46</v>
      </c>
      <c r="U518" s="31" t="s">
        <v>46</v>
      </c>
    </row>
    <row r="519" spans="1:21" x14ac:dyDescent="0.2">
      <c r="A519" s="31">
        <v>1.1192338206959083</v>
      </c>
      <c r="B519" s="46" t="s">
        <v>366</v>
      </c>
      <c r="C519" s="32">
        <v>0</v>
      </c>
      <c r="D519" s="32">
        <v>1</v>
      </c>
      <c r="E519" s="31">
        <v>0.50000000052480864</v>
      </c>
      <c r="F519" s="31">
        <v>0</v>
      </c>
      <c r="G519" s="31">
        <v>0</v>
      </c>
      <c r="H519" s="31">
        <v>0</v>
      </c>
      <c r="I519" s="48">
        <v>0</v>
      </c>
      <c r="J519" s="47" t="s">
        <v>367</v>
      </c>
      <c r="K519" s="32">
        <v>0</v>
      </c>
      <c r="L519" s="32">
        <v>1</v>
      </c>
      <c r="M519" s="31">
        <v>-0.50000000052480864</v>
      </c>
      <c r="N519" s="31">
        <v>0</v>
      </c>
      <c r="O519" s="31">
        <v>0</v>
      </c>
      <c r="P519" s="31">
        <v>0</v>
      </c>
      <c r="Q519" s="31">
        <v>0</v>
      </c>
      <c r="R519" s="31">
        <v>0</v>
      </c>
      <c r="S519" s="31">
        <v>0</v>
      </c>
      <c r="T519" s="31" t="s">
        <v>46</v>
      </c>
      <c r="U519" s="31" t="s">
        <v>46</v>
      </c>
    </row>
    <row r="520" spans="1:21" x14ac:dyDescent="0.2">
      <c r="A520" s="31">
        <v>1.1263175790547433</v>
      </c>
      <c r="B520" s="46" t="s">
        <v>368</v>
      </c>
      <c r="C520" s="32">
        <v>0</v>
      </c>
      <c r="D520" s="32">
        <v>1</v>
      </c>
      <c r="E520" s="31">
        <v>0.50000000052480864</v>
      </c>
      <c r="F520" s="31">
        <v>0</v>
      </c>
      <c r="G520" s="31">
        <v>0</v>
      </c>
      <c r="H520" s="31">
        <v>0</v>
      </c>
      <c r="I520" s="48">
        <v>0</v>
      </c>
      <c r="J520" s="47" t="s">
        <v>369</v>
      </c>
      <c r="K520" s="32">
        <v>0</v>
      </c>
      <c r="L520" s="32">
        <v>1</v>
      </c>
      <c r="M520" s="31">
        <v>-0.50000000052480864</v>
      </c>
      <c r="N520" s="31">
        <v>0</v>
      </c>
      <c r="O520" s="31">
        <v>0</v>
      </c>
      <c r="P520" s="31">
        <v>0</v>
      </c>
      <c r="Q520" s="31">
        <v>0</v>
      </c>
      <c r="R520" s="31">
        <v>0</v>
      </c>
      <c r="S520" s="31">
        <v>0</v>
      </c>
      <c r="T520" s="31" t="s">
        <v>46</v>
      </c>
      <c r="U520" s="31" t="s">
        <v>46</v>
      </c>
    </row>
    <row r="521" spans="1:21" x14ac:dyDescent="0.2">
      <c r="A521" s="31">
        <v>1.1334013374135781</v>
      </c>
      <c r="B521" s="46" t="s">
        <v>370</v>
      </c>
      <c r="C521" s="32">
        <v>0</v>
      </c>
      <c r="D521" s="32">
        <v>1</v>
      </c>
      <c r="E521" s="31">
        <v>0.50000000052480864</v>
      </c>
      <c r="F521" s="31">
        <v>0</v>
      </c>
      <c r="G521" s="31">
        <v>0</v>
      </c>
      <c r="H521" s="31">
        <v>0</v>
      </c>
      <c r="I521" s="48">
        <v>0</v>
      </c>
      <c r="J521" s="47" t="s">
        <v>371</v>
      </c>
      <c r="K521" s="32">
        <v>0</v>
      </c>
      <c r="L521" s="32">
        <v>1</v>
      </c>
      <c r="M521" s="31">
        <v>-0.50000000052480864</v>
      </c>
      <c r="N521" s="31">
        <v>0</v>
      </c>
      <c r="O521" s="31">
        <v>0</v>
      </c>
      <c r="P521" s="31">
        <v>0</v>
      </c>
      <c r="Q521" s="31">
        <v>0</v>
      </c>
      <c r="R521" s="31">
        <v>0</v>
      </c>
      <c r="S521" s="31">
        <v>0</v>
      </c>
      <c r="T521" s="31" t="s">
        <v>46</v>
      </c>
      <c r="U521" s="31" t="s">
        <v>46</v>
      </c>
    </row>
    <row r="522" spans="1:21" x14ac:dyDescent="0.2">
      <c r="A522" s="31">
        <v>1.1404850957724129</v>
      </c>
      <c r="B522" s="46" t="s">
        <v>372</v>
      </c>
      <c r="C522" s="32">
        <v>0</v>
      </c>
      <c r="D522" s="32">
        <v>1</v>
      </c>
      <c r="E522" s="31">
        <v>0.50000000052480864</v>
      </c>
      <c r="F522" s="31">
        <v>0</v>
      </c>
      <c r="G522" s="31">
        <v>0</v>
      </c>
      <c r="H522" s="31">
        <v>0</v>
      </c>
      <c r="I522" s="48">
        <v>0</v>
      </c>
      <c r="J522" s="47" t="s">
        <v>373</v>
      </c>
      <c r="K522" s="32">
        <v>0</v>
      </c>
      <c r="L522" s="32">
        <v>1</v>
      </c>
      <c r="M522" s="31">
        <v>-0.50000000052480864</v>
      </c>
      <c r="N522" s="31">
        <v>0</v>
      </c>
      <c r="O522" s="31">
        <v>0</v>
      </c>
      <c r="P522" s="31">
        <v>0</v>
      </c>
      <c r="Q522" s="31">
        <v>0</v>
      </c>
      <c r="R522" s="31">
        <v>0</v>
      </c>
      <c r="S522" s="31">
        <v>0</v>
      </c>
      <c r="T522" s="31" t="s">
        <v>46</v>
      </c>
      <c r="U522" s="31" t="s">
        <v>46</v>
      </c>
    </row>
    <row r="523" spans="1:21" x14ac:dyDescent="0.2">
      <c r="A523" s="31">
        <v>1.1475688541312479</v>
      </c>
      <c r="B523" s="46" t="s">
        <v>374</v>
      </c>
      <c r="C523" s="32">
        <v>0</v>
      </c>
      <c r="D523" s="32">
        <v>1</v>
      </c>
      <c r="E523" s="31">
        <v>0.50000000052480864</v>
      </c>
      <c r="F523" s="31">
        <v>0</v>
      </c>
      <c r="G523" s="31">
        <v>0</v>
      </c>
      <c r="H523" s="31">
        <v>0</v>
      </c>
      <c r="I523" s="48">
        <v>0</v>
      </c>
      <c r="J523" s="47" t="s">
        <v>375</v>
      </c>
      <c r="K523" s="32">
        <v>0</v>
      </c>
      <c r="L523" s="32">
        <v>1</v>
      </c>
      <c r="M523" s="31">
        <v>-0.50000000052480864</v>
      </c>
      <c r="N523" s="31">
        <v>0</v>
      </c>
      <c r="O523" s="31">
        <v>0</v>
      </c>
      <c r="P523" s="31">
        <v>0</v>
      </c>
      <c r="Q523" s="31">
        <v>0</v>
      </c>
      <c r="R523" s="31">
        <v>0</v>
      </c>
      <c r="S523" s="31">
        <v>0</v>
      </c>
      <c r="T523" s="31" t="s">
        <v>46</v>
      </c>
      <c r="U523" s="31" t="s">
        <v>46</v>
      </c>
    </row>
    <row r="524" spans="1:21" x14ac:dyDescent="0.2">
      <c r="A524" s="31">
        <v>1.1546526124900827</v>
      </c>
      <c r="B524" s="46" t="s">
        <v>376</v>
      </c>
      <c r="C524" s="32">
        <v>3.0000499999999999</v>
      </c>
      <c r="D524" s="32">
        <v>1</v>
      </c>
      <c r="E524" s="31">
        <v>0.50000000052480864</v>
      </c>
      <c r="F524" s="31">
        <v>0</v>
      </c>
      <c r="G524" s="31">
        <v>0</v>
      </c>
      <c r="H524" s="31">
        <v>0</v>
      </c>
      <c r="I524" s="48">
        <v>0</v>
      </c>
      <c r="J524" s="47" t="s">
        <v>377</v>
      </c>
      <c r="K524" s="32">
        <v>0</v>
      </c>
      <c r="L524" s="32">
        <v>1</v>
      </c>
      <c r="M524" s="31">
        <v>-0.50000000052480864</v>
      </c>
      <c r="N524" s="31">
        <v>0</v>
      </c>
      <c r="O524" s="31">
        <v>0</v>
      </c>
      <c r="P524" s="31">
        <v>0</v>
      </c>
      <c r="Q524" s="31">
        <v>0</v>
      </c>
      <c r="R524" s="31">
        <v>0</v>
      </c>
      <c r="S524" s="31">
        <v>0</v>
      </c>
      <c r="T524" s="31" t="s">
        <v>46</v>
      </c>
      <c r="U524" s="31" t="s">
        <v>46</v>
      </c>
    </row>
    <row r="525" spans="1:21" x14ac:dyDescent="0.2">
      <c r="A525" s="31">
        <v>1.1617363708489175</v>
      </c>
      <c r="B525" s="46" t="s">
        <v>378</v>
      </c>
      <c r="C525" s="32">
        <v>0</v>
      </c>
      <c r="D525" s="32">
        <v>1</v>
      </c>
      <c r="E525" s="31">
        <v>0.50000000052480864</v>
      </c>
      <c r="F525" s="31">
        <v>0</v>
      </c>
      <c r="G525" s="31">
        <v>0</v>
      </c>
      <c r="H525" s="31">
        <v>0</v>
      </c>
      <c r="I525" s="48">
        <v>0</v>
      </c>
      <c r="J525" s="47" t="s">
        <v>379</v>
      </c>
      <c r="K525" s="32">
        <v>0</v>
      </c>
      <c r="L525" s="32">
        <v>1</v>
      </c>
      <c r="M525" s="31">
        <v>-0.50000000052480864</v>
      </c>
      <c r="N525" s="31">
        <v>0</v>
      </c>
      <c r="O525" s="31">
        <v>0</v>
      </c>
      <c r="P525" s="31">
        <v>0</v>
      </c>
      <c r="Q525" s="31">
        <v>0</v>
      </c>
      <c r="R525" s="31">
        <v>0</v>
      </c>
      <c r="S525" s="31">
        <v>0</v>
      </c>
      <c r="T525" s="31" t="s">
        <v>46</v>
      </c>
      <c r="U525" s="31" t="s">
        <v>46</v>
      </c>
    </row>
    <row r="526" spans="1:21" x14ac:dyDescent="0.2">
      <c r="A526" s="31">
        <v>1.1688201292077525</v>
      </c>
      <c r="B526" s="46" t="s">
        <v>380</v>
      </c>
      <c r="C526" s="32">
        <v>0</v>
      </c>
      <c r="D526" s="32">
        <v>1</v>
      </c>
      <c r="E526" s="31">
        <v>0.50000000052480864</v>
      </c>
      <c r="F526" s="31">
        <v>0</v>
      </c>
      <c r="G526" s="31">
        <v>0</v>
      </c>
      <c r="H526" s="31">
        <v>0</v>
      </c>
      <c r="I526" s="48">
        <v>0</v>
      </c>
      <c r="J526" s="47" t="s">
        <v>381</v>
      </c>
      <c r="K526" s="32">
        <v>0</v>
      </c>
      <c r="L526" s="32">
        <v>1</v>
      </c>
      <c r="M526" s="31">
        <v>-0.50000000052480864</v>
      </c>
      <c r="N526" s="31">
        <v>0</v>
      </c>
      <c r="O526" s="31">
        <v>0</v>
      </c>
      <c r="P526" s="31">
        <v>0</v>
      </c>
      <c r="Q526" s="31">
        <v>0</v>
      </c>
      <c r="R526" s="31">
        <v>0</v>
      </c>
      <c r="S526" s="31">
        <v>0</v>
      </c>
      <c r="T526" s="31" t="s">
        <v>46</v>
      </c>
      <c r="U526" s="31" t="s">
        <v>46</v>
      </c>
    </row>
    <row r="527" spans="1:21" x14ac:dyDescent="0.2">
      <c r="A527" s="31">
        <v>1.1759038875665873</v>
      </c>
      <c r="B527" s="46" t="s">
        <v>382</v>
      </c>
      <c r="C527" s="32">
        <v>0</v>
      </c>
      <c r="D527" s="32">
        <v>1</v>
      </c>
      <c r="E527" s="31">
        <v>0.50000000052480864</v>
      </c>
      <c r="F527" s="31">
        <v>0</v>
      </c>
      <c r="G527" s="31">
        <v>0</v>
      </c>
      <c r="H527" s="31">
        <v>0</v>
      </c>
      <c r="I527" s="48">
        <v>0</v>
      </c>
      <c r="J527" s="47" t="s">
        <v>383</v>
      </c>
      <c r="K527" s="32">
        <v>0</v>
      </c>
      <c r="L527" s="32">
        <v>1</v>
      </c>
      <c r="M527" s="31">
        <v>-0.50000000052480864</v>
      </c>
      <c r="N527" s="31">
        <v>0</v>
      </c>
      <c r="O527" s="31">
        <v>0</v>
      </c>
      <c r="P527" s="31">
        <v>0</v>
      </c>
      <c r="Q527" s="31">
        <v>0</v>
      </c>
      <c r="R527" s="31">
        <v>0</v>
      </c>
      <c r="S527" s="31">
        <v>0</v>
      </c>
      <c r="T527" s="31" t="s">
        <v>46</v>
      </c>
      <c r="U527" s="31" t="s">
        <v>46</v>
      </c>
    </row>
    <row r="528" spans="1:21" x14ac:dyDescent="0.2">
      <c r="A528" s="31">
        <v>1.182987645925422</v>
      </c>
      <c r="B528" s="46" t="s">
        <v>384</v>
      </c>
      <c r="C528" s="32">
        <v>3.0000499999999999</v>
      </c>
      <c r="D528" s="32">
        <v>1</v>
      </c>
      <c r="E528" s="31">
        <v>0.50000000052480864</v>
      </c>
      <c r="F528" s="31">
        <v>0</v>
      </c>
      <c r="G528" s="31">
        <v>0</v>
      </c>
      <c r="H528" s="31">
        <v>0</v>
      </c>
      <c r="I528" s="48">
        <v>0</v>
      </c>
      <c r="J528" s="47" t="s">
        <v>385</v>
      </c>
      <c r="K528" s="32">
        <v>0</v>
      </c>
      <c r="L528" s="32">
        <v>1</v>
      </c>
      <c r="M528" s="31">
        <v>-0.50000000052480864</v>
      </c>
      <c r="N528" s="31">
        <v>0</v>
      </c>
      <c r="O528" s="31">
        <v>0</v>
      </c>
      <c r="P528" s="31">
        <v>0</v>
      </c>
      <c r="Q528" s="31">
        <v>0</v>
      </c>
      <c r="R528" s="31">
        <v>0</v>
      </c>
      <c r="S528" s="31">
        <v>0</v>
      </c>
      <c r="T528" s="31" t="s">
        <v>46</v>
      </c>
      <c r="U528" s="31" t="s">
        <v>46</v>
      </c>
    </row>
    <row r="529" spans="1:21" x14ac:dyDescent="0.2">
      <c r="A529" s="31">
        <v>1.1900714042842571</v>
      </c>
      <c r="B529" s="46" t="s">
        <v>386</v>
      </c>
      <c r="C529" s="32">
        <v>3.0000499999999999</v>
      </c>
      <c r="D529" s="32">
        <v>1</v>
      </c>
      <c r="E529" s="31">
        <v>0.50000000052480864</v>
      </c>
      <c r="F529" s="31">
        <v>0</v>
      </c>
      <c r="G529" s="31">
        <v>0</v>
      </c>
      <c r="H529" s="31">
        <v>0</v>
      </c>
      <c r="I529" s="48">
        <v>0</v>
      </c>
      <c r="J529" s="47" t="s">
        <v>387</v>
      </c>
      <c r="K529" s="32">
        <v>0</v>
      </c>
      <c r="L529" s="32">
        <v>1</v>
      </c>
      <c r="M529" s="31">
        <v>-0.50000000052480864</v>
      </c>
      <c r="N529" s="31">
        <v>0</v>
      </c>
      <c r="O529" s="31">
        <v>0</v>
      </c>
      <c r="P529" s="31">
        <v>0</v>
      </c>
      <c r="Q529" s="31">
        <v>0</v>
      </c>
      <c r="R529" s="31">
        <v>0</v>
      </c>
      <c r="S529" s="31">
        <v>0</v>
      </c>
      <c r="T529" s="31" t="s">
        <v>46</v>
      </c>
      <c r="U529" s="31" t="s">
        <v>46</v>
      </c>
    </row>
    <row r="530" spans="1:21" x14ac:dyDescent="0.2">
      <c r="A530" s="31">
        <v>1.1971551626430919</v>
      </c>
      <c r="B530" s="46" t="s">
        <v>388</v>
      </c>
      <c r="C530" s="32">
        <v>3.0000499999999999</v>
      </c>
      <c r="D530" s="32">
        <v>1</v>
      </c>
      <c r="E530" s="31">
        <v>0.50000000052480864</v>
      </c>
      <c r="F530" s="31">
        <v>0</v>
      </c>
      <c r="G530" s="31">
        <v>0</v>
      </c>
      <c r="H530" s="31">
        <v>0</v>
      </c>
      <c r="I530" s="48">
        <v>0</v>
      </c>
      <c r="J530" s="47" t="s">
        <v>389</v>
      </c>
      <c r="K530" s="32">
        <v>0</v>
      </c>
      <c r="L530" s="32">
        <v>1</v>
      </c>
      <c r="M530" s="31">
        <v>-0.50000000052480864</v>
      </c>
      <c r="N530" s="31">
        <v>0</v>
      </c>
      <c r="O530" s="31">
        <v>0</v>
      </c>
      <c r="P530" s="31">
        <v>0</v>
      </c>
      <c r="Q530" s="31">
        <v>0</v>
      </c>
      <c r="R530" s="31">
        <v>0</v>
      </c>
      <c r="S530" s="31">
        <v>0</v>
      </c>
      <c r="T530" s="31" t="s">
        <v>46</v>
      </c>
      <c r="U530" s="31" t="s">
        <v>46</v>
      </c>
    </row>
    <row r="531" spans="1:21" x14ac:dyDescent="0.2">
      <c r="A531" s="31">
        <v>1.2042389210019266</v>
      </c>
      <c r="B531" s="46" t="s">
        <v>390</v>
      </c>
      <c r="C531" s="32">
        <v>3.0000499999999999</v>
      </c>
      <c r="D531" s="32">
        <v>1</v>
      </c>
      <c r="E531" s="31">
        <v>0.50000000052480864</v>
      </c>
      <c r="F531" s="31">
        <v>0</v>
      </c>
      <c r="G531" s="31">
        <v>0</v>
      </c>
      <c r="H531" s="31">
        <v>0</v>
      </c>
      <c r="I531" s="48">
        <v>0</v>
      </c>
      <c r="J531" s="47" t="s">
        <v>391</v>
      </c>
      <c r="K531" s="32">
        <v>3.0000499999999999</v>
      </c>
      <c r="L531" s="32">
        <v>1</v>
      </c>
      <c r="M531" s="31">
        <v>-0.50000000052480864</v>
      </c>
      <c r="N531" s="31">
        <v>0</v>
      </c>
      <c r="O531" s="31">
        <v>0</v>
      </c>
      <c r="P531" s="31">
        <v>0</v>
      </c>
      <c r="Q531" s="31">
        <v>0</v>
      </c>
      <c r="R531" s="31">
        <v>0</v>
      </c>
      <c r="S531" s="31">
        <v>0</v>
      </c>
      <c r="T531" s="31" t="s">
        <v>46</v>
      </c>
      <c r="U531" s="31" t="s">
        <v>47</v>
      </c>
    </row>
    <row r="532" spans="1:21" x14ac:dyDescent="0.2">
      <c r="A532" s="31">
        <v>1.2113226793607617</v>
      </c>
      <c r="B532" s="46" t="s">
        <v>392</v>
      </c>
      <c r="C532" s="32">
        <v>3.0000499999999999</v>
      </c>
      <c r="D532" s="32">
        <v>1</v>
      </c>
      <c r="E532" s="31">
        <v>0.50000000052480864</v>
      </c>
      <c r="F532" s="31">
        <v>0</v>
      </c>
      <c r="G532" s="31">
        <v>0</v>
      </c>
      <c r="H532" s="31">
        <v>0</v>
      </c>
      <c r="I532" s="48">
        <v>0</v>
      </c>
      <c r="J532" s="47" t="s">
        <v>393</v>
      </c>
      <c r="K532" s="32">
        <v>3.0000499999999999</v>
      </c>
      <c r="L532" s="32">
        <v>1</v>
      </c>
      <c r="M532" s="31">
        <v>-0.50000000052480864</v>
      </c>
      <c r="N532" s="31">
        <v>0</v>
      </c>
      <c r="O532" s="31">
        <v>0</v>
      </c>
      <c r="P532" s="31">
        <v>0</v>
      </c>
      <c r="Q532" s="31">
        <v>0</v>
      </c>
      <c r="R532" s="31">
        <v>0</v>
      </c>
      <c r="S532" s="31">
        <v>0</v>
      </c>
      <c r="T532" s="31" t="s">
        <v>46</v>
      </c>
      <c r="U532" s="31" t="s">
        <v>47</v>
      </c>
    </row>
    <row r="533" spans="1:21" x14ac:dyDescent="0.2">
      <c r="A533" s="31">
        <v>1.2184064377195964</v>
      </c>
      <c r="B533" s="46" t="s">
        <v>394</v>
      </c>
      <c r="C533" s="32">
        <v>0</v>
      </c>
      <c r="D533" s="32">
        <v>1</v>
      </c>
      <c r="E533" s="31">
        <v>0.50000000052480864</v>
      </c>
      <c r="F533" s="31">
        <v>0</v>
      </c>
      <c r="G533" s="31">
        <v>0</v>
      </c>
      <c r="H533" s="31">
        <v>0</v>
      </c>
      <c r="I533" s="48">
        <v>0</v>
      </c>
      <c r="J533" s="47" t="s">
        <v>395</v>
      </c>
      <c r="K533" s="32">
        <v>0</v>
      </c>
      <c r="L533" s="32">
        <v>1</v>
      </c>
      <c r="M533" s="31">
        <v>-0.50000000052480864</v>
      </c>
      <c r="N533" s="31">
        <v>0</v>
      </c>
      <c r="O533" s="31">
        <v>0</v>
      </c>
      <c r="P533" s="31">
        <v>0</v>
      </c>
      <c r="Q533" s="31">
        <v>0</v>
      </c>
      <c r="R533" s="31">
        <v>0</v>
      </c>
      <c r="S533" s="31">
        <v>0</v>
      </c>
      <c r="T533" s="31" t="s">
        <v>46</v>
      </c>
      <c r="U533" s="31" t="s">
        <v>46</v>
      </c>
    </row>
    <row r="534" spans="1:21" x14ac:dyDescent="0.2">
      <c r="A534" s="31">
        <v>1.2254901960784312</v>
      </c>
      <c r="B534" s="46" t="s">
        <v>396</v>
      </c>
      <c r="C534" s="32">
        <v>3.0000499999999999</v>
      </c>
      <c r="D534" s="32">
        <v>1</v>
      </c>
      <c r="E534" s="31">
        <v>0.50000000052480864</v>
      </c>
      <c r="F534" s="31">
        <v>0</v>
      </c>
      <c r="G534" s="31">
        <v>0</v>
      </c>
      <c r="H534" s="31">
        <v>0</v>
      </c>
      <c r="I534" s="48">
        <v>0</v>
      </c>
      <c r="J534" s="47" t="s">
        <v>397</v>
      </c>
      <c r="K534" s="32">
        <v>3.0000499999999999</v>
      </c>
      <c r="L534" s="32">
        <v>1</v>
      </c>
      <c r="M534" s="31">
        <v>-0.50000000052480864</v>
      </c>
      <c r="N534" s="31">
        <v>0</v>
      </c>
      <c r="O534" s="31">
        <v>0</v>
      </c>
      <c r="P534" s="31">
        <v>0</v>
      </c>
      <c r="Q534" s="31">
        <v>0</v>
      </c>
      <c r="R534" s="31">
        <v>0</v>
      </c>
      <c r="S534" s="31">
        <v>0</v>
      </c>
      <c r="T534" s="31" t="s">
        <v>46</v>
      </c>
      <c r="U534" s="31" t="s">
        <v>47</v>
      </c>
    </row>
    <row r="535" spans="1:21" x14ac:dyDescent="0.2">
      <c r="A535" s="31">
        <v>1.2325739544372663</v>
      </c>
      <c r="B535" s="46" t="s">
        <v>398</v>
      </c>
      <c r="C535" s="32">
        <v>3.0000499999999999</v>
      </c>
      <c r="D535" s="32">
        <v>1</v>
      </c>
      <c r="E535" s="31">
        <v>0.50000000052480864</v>
      </c>
      <c r="F535" s="31">
        <v>0</v>
      </c>
      <c r="G535" s="31">
        <v>0</v>
      </c>
      <c r="H535" s="31">
        <v>0</v>
      </c>
      <c r="I535" s="48">
        <v>0</v>
      </c>
      <c r="J535" s="47" t="s">
        <v>399</v>
      </c>
      <c r="K535" s="32">
        <v>0</v>
      </c>
      <c r="L535" s="32">
        <v>1</v>
      </c>
      <c r="M535" s="31">
        <v>-0.50000000052480864</v>
      </c>
      <c r="N535" s="31">
        <v>0</v>
      </c>
      <c r="O535" s="31">
        <v>0</v>
      </c>
      <c r="P535" s="31">
        <v>0</v>
      </c>
      <c r="Q535" s="31">
        <v>0</v>
      </c>
      <c r="R535" s="31">
        <v>0</v>
      </c>
      <c r="S535" s="31">
        <v>0</v>
      </c>
      <c r="T535" s="31" t="s">
        <v>46</v>
      </c>
      <c r="U535" s="31" t="s">
        <v>46</v>
      </c>
    </row>
    <row r="536" spans="1:21" x14ac:dyDescent="0.2">
      <c r="A536" s="31">
        <v>1.239657712796101</v>
      </c>
      <c r="B536" s="46" t="s">
        <v>400</v>
      </c>
      <c r="C536" s="32">
        <v>3.0000499999999999</v>
      </c>
      <c r="D536" s="32">
        <v>1</v>
      </c>
      <c r="E536" s="31">
        <v>0.50000000052480864</v>
      </c>
      <c r="F536" s="31">
        <v>0</v>
      </c>
      <c r="G536" s="31">
        <v>0</v>
      </c>
      <c r="H536" s="31">
        <v>0</v>
      </c>
      <c r="I536" s="48">
        <v>0</v>
      </c>
      <c r="J536" s="47" t="s">
        <v>401</v>
      </c>
      <c r="K536" s="32">
        <v>3.0000499999999999</v>
      </c>
      <c r="L536" s="32">
        <v>1</v>
      </c>
      <c r="M536" s="31">
        <v>-0.50000000052480864</v>
      </c>
      <c r="N536" s="31">
        <v>0</v>
      </c>
      <c r="O536" s="31">
        <v>0</v>
      </c>
      <c r="P536" s="31">
        <v>0</v>
      </c>
      <c r="Q536" s="31">
        <v>0</v>
      </c>
      <c r="R536" s="31">
        <v>0</v>
      </c>
      <c r="S536" s="31">
        <v>0</v>
      </c>
      <c r="T536" s="31" t="s">
        <v>46</v>
      </c>
      <c r="U536" s="31" t="s">
        <v>47</v>
      </c>
    </row>
    <row r="537" spans="1:21" x14ac:dyDescent="0.2">
      <c r="A537" s="31">
        <v>1.2467414711549358</v>
      </c>
      <c r="B537" s="46" t="s">
        <v>402</v>
      </c>
      <c r="C537" s="32">
        <v>3.0000499999999999</v>
      </c>
      <c r="D537" s="32">
        <v>1</v>
      </c>
      <c r="E537" s="31">
        <v>0.50000000052480864</v>
      </c>
      <c r="F537" s="31">
        <v>0</v>
      </c>
      <c r="G537" s="31">
        <v>0</v>
      </c>
      <c r="H537" s="31">
        <v>0</v>
      </c>
      <c r="I537" s="48">
        <v>0</v>
      </c>
      <c r="J537" s="47" t="s">
        <v>403</v>
      </c>
      <c r="K537" s="32">
        <v>0</v>
      </c>
      <c r="L537" s="32">
        <v>1</v>
      </c>
      <c r="M537" s="31">
        <v>-0.50000000052480864</v>
      </c>
      <c r="N537" s="31">
        <v>0</v>
      </c>
      <c r="O537" s="31">
        <v>0</v>
      </c>
      <c r="P537" s="31">
        <v>0</v>
      </c>
      <c r="Q537" s="31">
        <v>0</v>
      </c>
      <c r="R537" s="31">
        <v>0</v>
      </c>
      <c r="S537" s="31">
        <v>0</v>
      </c>
      <c r="T537" s="31" t="s">
        <v>46</v>
      </c>
      <c r="U537" s="31" t="s">
        <v>46</v>
      </c>
    </row>
    <row r="538" spans="1:21" x14ac:dyDescent="0.2">
      <c r="A538" s="31">
        <v>1.2538252295137708</v>
      </c>
      <c r="B538" s="46" t="s">
        <v>404</v>
      </c>
      <c r="C538" s="32">
        <v>3.0000499999999999</v>
      </c>
      <c r="D538" s="32">
        <v>1</v>
      </c>
      <c r="E538" s="31">
        <v>0.50000000052480864</v>
      </c>
      <c r="F538" s="31">
        <v>0</v>
      </c>
      <c r="G538" s="31">
        <v>0</v>
      </c>
      <c r="H538" s="31">
        <v>0</v>
      </c>
      <c r="I538" s="48">
        <v>0</v>
      </c>
      <c r="J538" s="47" t="s">
        <v>405</v>
      </c>
      <c r="K538" s="32">
        <v>3.0000499999999999</v>
      </c>
      <c r="L538" s="32">
        <v>1</v>
      </c>
      <c r="M538" s="31">
        <v>-0.50000000052480864</v>
      </c>
      <c r="N538" s="31">
        <v>0</v>
      </c>
      <c r="O538" s="31">
        <v>0</v>
      </c>
      <c r="P538" s="31">
        <v>0</v>
      </c>
      <c r="Q538" s="31">
        <v>0</v>
      </c>
      <c r="R538" s="31">
        <v>0</v>
      </c>
      <c r="S538" s="31">
        <v>0</v>
      </c>
      <c r="T538" s="31" t="s">
        <v>46</v>
      </c>
      <c r="U538" s="31" t="s">
        <v>47</v>
      </c>
    </row>
    <row r="539" spans="1:21" x14ac:dyDescent="0.2">
      <c r="A539" s="31">
        <v>1.2609089878726056</v>
      </c>
      <c r="B539" s="46" t="s">
        <v>406</v>
      </c>
      <c r="C539" s="32">
        <v>3.0000499999999999</v>
      </c>
      <c r="D539" s="32">
        <v>1</v>
      </c>
      <c r="E539" s="31">
        <v>0.50000000052480864</v>
      </c>
      <c r="F539" s="31">
        <v>0</v>
      </c>
      <c r="G539" s="31">
        <v>0</v>
      </c>
      <c r="H539" s="31">
        <v>0</v>
      </c>
      <c r="I539" s="48">
        <v>0</v>
      </c>
      <c r="J539" s="47" t="s">
        <v>407</v>
      </c>
      <c r="K539" s="32">
        <v>3.0000499999999999</v>
      </c>
      <c r="L539" s="32">
        <v>1</v>
      </c>
      <c r="M539" s="31">
        <v>-0.50000000052480864</v>
      </c>
      <c r="N539" s="31">
        <v>0</v>
      </c>
      <c r="O539" s="31">
        <v>0</v>
      </c>
      <c r="P539" s="31">
        <v>0</v>
      </c>
      <c r="Q539" s="31">
        <v>0</v>
      </c>
      <c r="R539" s="31">
        <v>0</v>
      </c>
      <c r="S539" s="31">
        <v>0</v>
      </c>
      <c r="T539" s="31" t="s">
        <v>46</v>
      </c>
      <c r="U539" s="31" t="s">
        <v>47</v>
      </c>
    </row>
    <row r="540" spans="1:21" x14ac:dyDescent="0.2">
      <c r="A540" s="31">
        <v>1.2750765045902754</v>
      </c>
      <c r="B540" s="46" t="s">
        <v>408</v>
      </c>
      <c r="C540" s="32">
        <v>3.0000499999999999</v>
      </c>
      <c r="D540" s="32">
        <v>1</v>
      </c>
      <c r="E540" s="31">
        <v>0.50000000052480864</v>
      </c>
      <c r="F540" s="31">
        <v>0</v>
      </c>
      <c r="G540" s="31">
        <v>0</v>
      </c>
      <c r="H540" s="31">
        <v>0</v>
      </c>
      <c r="I540" s="48">
        <v>0</v>
      </c>
      <c r="J540" s="47" t="s">
        <v>409</v>
      </c>
      <c r="K540" s="32">
        <v>0</v>
      </c>
      <c r="L540" s="32">
        <v>1</v>
      </c>
      <c r="M540" s="31">
        <v>-0.50000000052480864</v>
      </c>
      <c r="N540" s="31">
        <v>0</v>
      </c>
      <c r="O540" s="31">
        <v>0</v>
      </c>
      <c r="P540" s="31">
        <v>0</v>
      </c>
      <c r="Q540" s="31">
        <v>0</v>
      </c>
      <c r="R540" s="31">
        <v>0</v>
      </c>
      <c r="S540" s="31">
        <v>0</v>
      </c>
      <c r="T540" s="31" t="s">
        <v>46</v>
      </c>
      <c r="U540" s="31" t="s">
        <v>46</v>
      </c>
    </row>
    <row r="541" spans="1:21" x14ac:dyDescent="0.2">
      <c r="A541" s="31">
        <v>1.29632777966678</v>
      </c>
      <c r="B541" s="46" t="s">
        <v>410</v>
      </c>
      <c r="C541" s="32">
        <v>3.0000499999999999</v>
      </c>
      <c r="D541" s="32">
        <v>1</v>
      </c>
      <c r="E541" s="31">
        <v>0.50000000052480864</v>
      </c>
      <c r="F541" s="31">
        <v>0</v>
      </c>
      <c r="G541" s="31">
        <v>0</v>
      </c>
      <c r="H541" s="31">
        <v>0</v>
      </c>
      <c r="I541" s="48">
        <v>0</v>
      </c>
      <c r="J541" s="47" t="s">
        <v>411</v>
      </c>
      <c r="K541" s="32">
        <v>3.0000499999999999</v>
      </c>
      <c r="L541" s="32">
        <v>1</v>
      </c>
      <c r="M541" s="31">
        <v>-0.50000000052480864</v>
      </c>
      <c r="N541" s="31">
        <v>0</v>
      </c>
      <c r="O541" s="31">
        <v>0</v>
      </c>
      <c r="P541" s="31">
        <v>0</v>
      </c>
      <c r="Q541" s="31">
        <v>0</v>
      </c>
      <c r="R541" s="31">
        <v>0</v>
      </c>
      <c r="S541" s="31">
        <v>0</v>
      </c>
      <c r="T541" s="31" t="s">
        <v>46</v>
      </c>
      <c r="U541" s="31" t="s">
        <v>47</v>
      </c>
    </row>
    <row r="542" spans="1:21" x14ac:dyDescent="0.2">
      <c r="A542" s="31">
        <v>1.3034115380256148</v>
      </c>
      <c r="B542" s="46" t="s">
        <v>412</v>
      </c>
      <c r="C542" s="32">
        <v>0</v>
      </c>
      <c r="D542" s="32">
        <v>1</v>
      </c>
      <c r="E542" s="31">
        <v>0.50000000052480864</v>
      </c>
      <c r="F542" s="31">
        <v>0</v>
      </c>
      <c r="G542" s="31">
        <v>0</v>
      </c>
      <c r="H542" s="31">
        <v>0</v>
      </c>
      <c r="I542" s="31">
        <v>0</v>
      </c>
      <c r="J542" s="47" t="s">
        <v>413</v>
      </c>
      <c r="K542" s="32">
        <v>0</v>
      </c>
      <c r="L542" s="32">
        <v>1</v>
      </c>
      <c r="M542" s="31">
        <v>-0.50000000052480864</v>
      </c>
      <c r="N542" s="31">
        <v>0</v>
      </c>
      <c r="O542" s="31">
        <v>0</v>
      </c>
      <c r="P542" s="31">
        <v>0</v>
      </c>
      <c r="Q542" s="31">
        <v>0</v>
      </c>
      <c r="R542" s="31">
        <v>0</v>
      </c>
      <c r="S542" s="31">
        <v>0</v>
      </c>
      <c r="T542" s="31" t="s">
        <v>46</v>
      </c>
      <c r="U542" s="31" t="s">
        <v>46</v>
      </c>
    </row>
    <row r="543" spans="1:21" x14ac:dyDescent="0.2">
      <c r="A543" s="31">
        <v>1.3317465714609542</v>
      </c>
      <c r="B543" s="46" t="s">
        <v>414</v>
      </c>
      <c r="C543" s="32">
        <v>3.0000499999999999</v>
      </c>
      <c r="D543" s="32">
        <v>1</v>
      </c>
      <c r="E543" s="31">
        <v>0.50000000052480864</v>
      </c>
      <c r="F543" s="31">
        <v>0</v>
      </c>
      <c r="G543" s="31">
        <v>0</v>
      </c>
      <c r="H543" s="31">
        <v>0</v>
      </c>
      <c r="I543" s="31">
        <v>0</v>
      </c>
      <c r="J543" s="47" t="s">
        <v>415</v>
      </c>
      <c r="K543" s="32">
        <v>0</v>
      </c>
      <c r="L543" s="32">
        <v>1</v>
      </c>
      <c r="M543" s="31">
        <v>-0.50000000052480864</v>
      </c>
      <c r="N543" s="31">
        <v>0</v>
      </c>
      <c r="O543" s="31">
        <v>0</v>
      </c>
      <c r="P543" s="31">
        <v>0</v>
      </c>
      <c r="Q543" s="31">
        <v>0</v>
      </c>
      <c r="R543" s="31">
        <v>0</v>
      </c>
      <c r="S543" s="31">
        <v>0</v>
      </c>
      <c r="T543" s="31" t="s">
        <v>46</v>
      </c>
      <c r="U543" s="31" t="s">
        <v>46</v>
      </c>
    </row>
    <row r="544" spans="1:21" x14ac:dyDescent="0.2">
      <c r="A544" s="31">
        <v>1.3600816048962938</v>
      </c>
      <c r="B544" s="46" t="s">
        <v>416</v>
      </c>
      <c r="C544" s="32">
        <v>3.0000499999999999</v>
      </c>
      <c r="D544" s="32">
        <v>1</v>
      </c>
      <c r="E544" s="31">
        <v>0.50000000052480864</v>
      </c>
      <c r="F544" s="31">
        <v>0</v>
      </c>
      <c r="G544" s="31">
        <v>0</v>
      </c>
      <c r="H544" s="31">
        <v>0</v>
      </c>
      <c r="I544" s="31">
        <v>0</v>
      </c>
      <c r="J544" s="47" t="s">
        <v>417</v>
      </c>
      <c r="K544" s="32">
        <v>0</v>
      </c>
      <c r="L544" s="32">
        <v>1</v>
      </c>
      <c r="M544" s="31">
        <v>-0.50000000052480864</v>
      </c>
      <c r="N544" s="31">
        <v>0</v>
      </c>
      <c r="O544" s="31">
        <v>0</v>
      </c>
      <c r="P544" s="31">
        <v>0</v>
      </c>
      <c r="Q544" s="31">
        <v>0</v>
      </c>
      <c r="R544" s="31">
        <v>0</v>
      </c>
      <c r="S544" s="31">
        <v>0</v>
      </c>
      <c r="T544" s="31" t="s">
        <v>46</v>
      </c>
      <c r="U544" s="31" t="s">
        <v>46</v>
      </c>
    </row>
    <row r="545" spans="1:21" x14ac:dyDescent="0.2">
      <c r="A545" s="31">
        <v>1.3884166383316332</v>
      </c>
      <c r="B545" s="46" t="s">
        <v>418</v>
      </c>
      <c r="C545" s="32">
        <v>3.0000499999999999</v>
      </c>
      <c r="D545" s="32">
        <v>1</v>
      </c>
      <c r="E545" s="31">
        <v>0.50000000052480864</v>
      </c>
      <c r="F545" s="31">
        <v>0</v>
      </c>
      <c r="G545" s="31">
        <v>0</v>
      </c>
      <c r="H545" s="31">
        <v>0</v>
      </c>
      <c r="I545" s="31">
        <v>0</v>
      </c>
      <c r="J545" s="47" t="s">
        <v>419</v>
      </c>
      <c r="K545" s="32">
        <v>0</v>
      </c>
      <c r="L545" s="32">
        <v>1</v>
      </c>
      <c r="M545" s="31">
        <v>-0.50000000052480864</v>
      </c>
      <c r="N545" s="31">
        <v>0</v>
      </c>
      <c r="O545" s="31">
        <v>0</v>
      </c>
      <c r="P545" s="31">
        <v>0</v>
      </c>
      <c r="Q545" s="31">
        <v>0</v>
      </c>
      <c r="R545" s="31">
        <v>0</v>
      </c>
      <c r="S545" s="31">
        <v>0</v>
      </c>
      <c r="T545" s="31" t="s">
        <v>46</v>
      </c>
      <c r="U545" s="31" t="s">
        <v>46</v>
      </c>
    </row>
    <row r="546" spans="1:21" x14ac:dyDescent="0.2">
      <c r="A546" s="31">
        <v>1.4167516717669726</v>
      </c>
      <c r="B546" s="46" t="s">
        <v>420</v>
      </c>
      <c r="C546" s="32">
        <v>3.0000499999999999</v>
      </c>
      <c r="D546" s="32">
        <v>1</v>
      </c>
      <c r="E546" s="31">
        <v>0.50000000052480864</v>
      </c>
      <c r="F546" s="31">
        <v>0</v>
      </c>
      <c r="G546" s="31">
        <v>0</v>
      </c>
      <c r="H546" s="31">
        <v>0</v>
      </c>
      <c r="I546" s="31">
        <v>0</v>
      </c>
      <c r="J546" s="47" t="s">
        <v>421</v>
      </c>
      <c r="K546" s="32">
        <v>0</v>
      </c>
      <c r="L546" s="32">
        <v>1</v>
      </c>
      <c r="M546" s="31">
        <v>-0.50000000052480864</v>
      </c>
      <c r="N546" s="31">
        <v>0</v>
      </c>
      <c r="O546" s="31">
        <v>0</v>
      </c>
      <c r="P546" s="31">
        <v>0</v>
      </c>
      <c r="Q546" s="31">
        <v>0</v>
      </c>
      <c r="R546" s="31">
        <v>0</v>
      </c>
      <c r="S546" s="31">
        <v>0</v>
      </c>
      <c r="T546" s="31" t="s">
        <v>46</v>
      </c>
      <c r="U546" s="31" t="s">
        <v>46</v>
      </c>
    </row>
    <row r="547" spans="1:21" x14ac:dyDescent="0.2">
      <c r="A547" s="31">
        <v>1.445086705202312</v>
      </c>
      <c r="B547" s="46" t="s">
        <v>422</v>
      </c>
      <c r="C547" s="32">
        <v>3.0000499999999999</v>
      </c>
      <c r="D547" s="32">
        <v>1</v>
      </c>
      <c r="E547" s="31">
        <v>0.50000000052480864</v>
      </c>
      <c r="F547" s="31">
        <v>0</v>
      </c>
      <c r="G547" s="31">
        <v>0</v>
      </c>
      <c r="H547" s="31">
        <v>0</v>
      </c>
      <c r="I547" s="31">
        <v>0</v>
      </c>
      <c r="J547" s="47" t="s">
        <v>423</v>
      </c>
      <c r="K547" s="32">
        <v>0</v>
      </c>
      <c r="L547" s="32">
        <v>1</v>
      </c>
      <c r="M547" s="31">
        <v>-0.50000000052480864</v>
      </c>
      <c r="N547" s="31">
        <v>0</v>
      </c>
      <c r="O547" s="31">
        <v>0</v>
      </c>
      <c r="P547" s="31">
        <v>0</v>
      </c>
      <c r="Q547" s="31">
        <v>0</v>
      </c>
      <c r="R547" s="31">
        <v>0</v>
      </c>
      <c r="S547" s="31">
        <v>0</v>
      </c>
      <c r="T547" s="31" t="s">
        <v>46</v>
      </c>
      <c r="U547" s="31" t="s">
        <v>46</v>
      </c>
    </row>
    <row r="548" spans="1:21" x14ac:dyDescent="0.2">
      <c r="A548" s="31">
        <v>0.79338093618950467</v>
      </c>
      <c r="B548" s="46" t="s">
        <v>424</v>
      </c>
      <c r="C548" s="32">
        <v>3.0000499999999999</v>
      </c>
      <c r="D548" s="32">
        <v>1</v>
      </c>
      <c r="E548" s="31">
        <v>0.50000000052480864</v>
      </c>
      <c r="F548" s="31">
        <v>0</v>
      </c>
      <c r="G548" s="31">
        <v>0</v>
      </c>
      <c r="H548" s="31">
        <v>0</v>
      </c>
      <c r="I548" s="31">
        <v>0</v>
      </c>
      <c r="J548" s="47" t="s">
        <v>425</v>
      </c>
      <c r="K548" s="32">
        <v>0</v>
      </c>
      <c r="L548" s="32">
        <v>1</v>
      </c>
      <c r="M548" s="31">
        <v>-0.50000000052480864</v>
      </c>
      <c r="N548" s="31">
        <v>0</v>
      </c>
      <c r="O548" s="31">
        <v>0</v>
      </c>
      <c r="P548" s="31">
        <v>0</v>
      </c>
      <c r="Q548" s="31">
        <v>0</v>
      </c>
      <c r="R548" s="31">
        <v>0</v>
      </c>
      <c r="S548" s="31">
        <v>0</v>
      </c>
      <c r="T548" s="31" t="s">
        <v>47</v>
      </c>
      <c r="U548" s="31" t="s">
        <v>46</v>
      </c>
    </row>
    <row r="549" spans="1:21" x14ac:dyDescent="0.2">
      <c r="A549" s="31">
        <v>0.80046469454833957</v>
      </c>
      <c r="B549" s="46" t="s">
        <v>426</v>
      </c>
      <c r="C549" s="32">
        <v>3.0000499999999999</v>
      </c>
      <c r="D549" s="32">
        <v>1</v>
      </c>
      <c r="E549" s="31">
        <v>0.50000000052480864</v>
      </c>
      <c r="F549" s="31">
        <v>0</v>
      </c>
      <c r="G549" s="31">
        <v>0</v>
      </c>
      <c r="H549" s="31">
        <v>0</v>
      </c>
      <c r="I549" s="31">
        <v>0</v>
      </c>
      <c r="J549" s="47" t="s">
        <v>427</v>
      </c>
      <c r="K549" s="32">
        <v>0</v>
      </c>
      <c r="L549" s="32">
        <v>1</v>
      </c>
      <c r="M549" s="31">
        <v>-0.50000000052480864</v>
      </c>
      <c r="N549" s="31">
        <v>0</v>
      </c>
      <c r="O549" s="31">
        <v>0</v>
      </c>
      <c r="P549" s="31">
        <v>0</v>
      </c>
      <c r="Q549" s="31">
        <v>0</v>
      </c>
      <c r="R549" s="31">
        <v>0</v>
      </c>
      <c r="S549" s="31">
        <v>0</v>
      </c>
      <c r="T549" s="31" t="s">
        <v>47</v>
      </c>
      <c r="U549" s="31" t="s">
        <v>46</v>
      </c>
    </row>
    <row r="550" spans="1:21" x14ac:dyDescent="0.2">
      <c r="A550" s="31">
        <v>0.80754845290717436</v>
      </c>
      <c r="B550" s="46" t="s">
        <v>428</v>
      </c>
      <c r="C550" s="32">
        <v>3.0000499999999999</v>
      </c>
      <c r="D550" s="32">
        <v>1</v>
      </c>
      <c r="E550" s="31">
        <v>0.50000000052480864</v>
      </c>
      <c r="F550" s="31">
        <v>0</v>
      </c>
      <c r="G550" s="31">
        <v>0</v>
      </c>
      <c r="H550" s="31">
        <v>0</v>
      </c>
      <c r="I550" s="31">
        <v>0</v>
      </c>
      <c r="J550" s="47" t="s">
        <v>429</v>
      </c>
      <c r="K550" s="32">
        <v>0</v>
      </c>
      <c r="L550" s="32">
        <v>1</v>
      </c>
      <c r="M550" s="31">
        <v>-0.50000000052480864</v>
      </c>
      <c r="N550" s="31">
        <v>0</v>
      </c>
      <c r="O550" s="31">
        <v>0</v>
      </c>
      <c r="P550" s="31">
        <v>0</v>
      </c>
      <c r="Q550" s="31">
        <v>0</v>
      </c>
      <c r="R550" s="31">
        <v>0</v>
      </c>
      <c r="S550" s="31">
        <v>0</v>
      </c>
      <c r="T550" s="31" t="s">
        <v>47</v>
      </c>
      <c r="U550" s="31" t="s">
        <v>46</v>
      </c>
    </row>
    <row r="551" spans="1:21" x14ac:dyDescent="0.2">
      <c r="A551" s="31">
        <v>0.81463221126600927</v>
      </c>
      <c r="B551" s="46" t="s">
        <v>430</v>
      </c>
      <c r="C551" s="32">
        <v>3.0000499999999999</v>
      </c>
      <c r="D551" s="32">
        <v>1</v>
      </c>
      <c r="E551" s="31">
        <v>0.50000000052480864</v>
      </c>
      <c r="F551" s="31">
        <v>0</v>
      </c>
      <c r="G551" s="31">
        <v>0</v>
      </c>
      <c r="H551" s="31">
        <v>0</v>
      </c>
      <c r="I551" s="31">
        <v>0</v>
      </c>
      <c r="J551" s="47" t="s">
        <v>431</v>
      </c>
      <c r="K551" s="32">
        <v>0</v>
      </c>
      <c r="L551" s="32">
        <v>1</v>
      </c>
      <c r="M551" s="31">
        <v>-0.50000000052480864</v>
      </c>
      <c r="N551" s="31">
        <v>0</v>
      </c>
      <c r="O551" s="31">
        <v>0</v>
      </c>
      <c r="P551" s="31">
        <v>0</v>
      </c>
      <c r="Q551" s="31">
        <v>0</v>
      </c>
      <c r="R551" s="31">
        <v>0</v>
      </c>
      <c r="S551" s="31">
        <v>0</v>
      </c>
      <c r="T551" s="31" t="s">
        <v>47</v>
      </c>
      <c r="U551" s="31" t="s">
        <v>46</v>
      </c>
    </row>
    <row r="552" spans="1:21" x14ac:dyDescent="0.2">
      <c r="A552" s="31">
        <v>0.82171596962484417</v>
      </c>
      <c r="B552" s="46" t="s">
        <v>432</v>
      </c>
      <c r="C552" s="32">
        <v>3.0000499999999999</v>
      </c>
      <c r="D552" s="32">
        <v>1</v>
      </c>
      <c r="E552" s="31">
        <v>0.50000000052480864</v>
      </c>
      <c r="F552" s="31">
        <v>0</v>
      </c>
      <c r="G552" s="31">
        <v>0</v>
      </c>
      <c r="H552" s="31">
        <v>0</v>
      </c>
      <c r="I552" s="31">
        <v>0</v>
      </c>
      <c r="J552" s="47" t="s">
        <v>433</v>
      </c>
      <c r="K552" s="32">
        <v>0</v>
      </c>
      <c r="L552" s="32">
        <v>1</v>
      </c>
      <c r="M552" s="31">
        <v>-0.50000000052480864</v>
      </c>
      <c r="N552" s="31">
        <v>0</v>
      </c>
      <c r="O552" s="31">
        <v>0</v>
      </c>
      <c r="P552" s="31">
        <v>0</v>
      </c>
      <c r="Q552" s="31">
        <v>0</v>
      </c>
      <c r="R552" s="31">
        <v>0</v>
      </c>
      <c r="S552" s="31">
        <v>0</v>
      </c>
      <c r="T552" s="31" t="s">
        <v>47</v>
      </c>
      <c r="U552" s="31" t="s">
        <v>46</v>
      </c>
    </row>
    <row r="553" spans="1:21" x14ac:dyDescent="0.2">
      <c r="A553" s="31">
        <v>0.82879972798367896</v>
      </c>
      <c r="B553" s="46" t="s">
        <v>434</v>
      </c>
      <c r="C553" s="32">
        <v>3.0000499999999999</v>
      </c>
      <c r="D553" s="32">
        <v>1</v>
      </c>
      <c r="E553" s="31">
        <v>0.50000000052480864</v>
      </c>
      <c r="F553" s="31">
        <v>0</v>
      </c>
      <c r="G553" s="31">
        <v>0</v>
      </c>
      <c r="H553" s="31">
        <v>0</v>
      </c>
      <c r="I553" s="31">
        <v>0</v>
      </c>
      <c r="J553" s="47" t="s">
        <v>435</v>
      </c>
      <c r="K553" s="32">
        <v>0</v>
      </c>
      <c r="L553" s="32">
        <v>1</v>
      </c>
      <c r="M553" s="31">
        <v>-0.50000000052480864</v>
      </c>
      <c r="N553" s="31">
        <v>0</v>
      </c>
      <c r="O553" s="31">
        <v>0</v>
      </c>
      <c r="P553" s="31">
        <v>0</v>
      </c>
      <c r="Q553" s="31">
        <v>0</v>
      </c>
      <c r="R553" s="31">
        <v>0</v>
      </c>
      <c r="S553" s="31">
        <v>0</v>
      </c>
      <c r="T553" s="31" t="s">
        <v>47</v>
      </c>
      <c r="U553" s="31" t="s">
        <v>46</v>
      </c>
    </row>
    <row r="554" spans="1:21" x14ac:dyDescent="0.2">
      <c r="A554" s="31">
        <v>0.83588348634251386</v>
      </c>
      <c r="B554" s="46" t="s">
        <v>436</v>
      </c>
      <c r="C554" s="32">
        <v>3.0000499999999999</v>
      </c>
      <c r="D554" s="32">
        <v>1</v>
      </c>
      <c r="E554" s="31">
        <v>0.50000000052480864</v>
      </c>
      <c r="F554" s="31">
        <v>0</v>
      </c>
      <c r="G554" s="31">
        <v>0</v>
      </c>
      <c r="H554" s="31">
        <v>0</v>
      </c>
      <c r="I554" s="31">
        <v>0</v>
      </c>
      <c r="J554" s="47" t="s">
        <v>437</v>
      </c>
      <c r="K554" s="32">
        <v>0</v>
      </c>
      <c r="L554" s="32">
        <v>1</v>
      </c>
      <c r="M554" s="31">
        <v>-0.50000000052480864</v>
      </c>
      <c r="N554" s="31">
        <v>0</v>
      </c>
      <c r="O554" s="31">
        <v>0</v>
      </c>
      <c r="P554" s="31">
        <v>0</v>
      </c>
      <c r="Q554" s="31">
        <v>0</v>
      </c>
      <c r="R554" s="31">
        <v>0</v>
      </c>
      <c r="S554" s="31">
        <v>0</v>
      </c>
      <c r="T554" s="31" t="s">
        <v>47</v>
      </c>
      <c r="U554" s="31" t="s">
        <v>46</v>
      </c>
    </row>
    <row r="555" spans="1:21" x14ac:dyDescent="0.2">
      <c r="A555" s="31">
        <v>0.84296724470134876</v>
      </c>
      <c r="B555" s="46" t="s">
        <v>438</v>
      </c>
      <c r="C555" s="32">
        <v>3.0000499999999999</v>
      </c>
      <c r="D555" s="32">
        <v>1</v>
      </c>
      <c r="E555" s="31">
        <v>0.50000000052480864</v>
      </c>
      <c r="F555" s="31">
        <v>0</v>
      </c>
      <c r="G555" s="31">
        <v>0</v>
      </c>
      <c r="H555" s="31">
        <v>0</v>
      </c>
      <c r="I555" s="31">
        <v>0</v>
      </c>
      <c r="J555" s="47" t="s">
        <v>439</v>
      </c>
      <c r="K555" s="32">
        <v>0</v>
      </c>
      <c r="L555" s="32">
        <v>1</v>
      </c>
      <c r="M555" s="31">
        <v>-0.50000000052480864</v>
      </c>
      <c r="N555" s="31">
        <v>0</v>
      </c>
      <c r="O555" s="31">
        <v>0</v>
      </c>
      <c r="P555" s="31">
        <v>0</v>
      </c>
      <c r="Q555" s="31">
        <v>0</v>
      </c>
      <c r="R555" s="31">
        <v>0</v>
      </c>
      <c r="S555" s="31">
        <v>0</v>
      </c>
      <c r="T555" s="31" t="s">
        <v>47</v>
      </c>
      <c r="U555" s="31" t="s">
        <v>46</v>
      </c>
    </row>
    <row r="556" spans="1:21" x14ac:dyDescent="0.2">
      <c r="A556" s="31">
        <v>0.85005100306018355</v>
      </c>
      <c r="B556" s="46" t="s">
        <v>440</v>
      </c>
      <c r="C556" s="32">
        <v>0</v>
      </c>
      <c r="D556" s="32">
        <v>1</v>
      </c>
      <c r="E556" s="31">
        <v>0.50000000052480864</v>
      </c>
      <c r="F556" s="31">
        <v>0</v>
      </c>
      <c r="G556" s="31">
        <v>0</v>
      </c>
      <c r="H556" s="31">
        <v>0</v>
      </c>
      <c r="I556" s="31">
        <v>0</v>
      </c>
      <c r="J556" s="47" t="s">
        <v>441</v>
      </c>
      <c r="K556" s="32">
        <v>0</v>
      </c>
      <c r="L556" s="32">
        <v>1</v>
      </c>
      <c r="M556" s="31">
        <v>-0.50000000052480864</v>
      </c>
      <c r="N556" s="31">
        <v>0</v>
      </c>
      <c r="O556" s="31">
        <v>0</v>
      </c>
      <c r="P556" s="31">
        <v>0</v>
      </c>
      <c r="Q556" s="31">
        <v>0</v>
      </c>
      <c r="R556" s="31">
        <v>0</v>
      </c>
      <c r="S556" s="31">
        <v>0</v>
      </c>
      <c r="T556" s="31" t="s">
        <v>46</v>
      </c>
      <c r="U556" s="31" t="s">
        <v>46</v>
      </c>
    </row>
    <row r="557" spans="1:21" x14ac:dyDescent="0.2">
      <c r="A557" s="31">
        <v>0.85713476141901845</v>
      </c>
      <c r="B557" s="46" t="s">
        <v>442</v>
      </c>
      <c r="C557" s="32">
        <v>3.0000499999999999</v>
      </c>
      <c r="D557" s="32">
        <v>1</v>
      </c>
      <c r="E557" s="31">
        <v>0.50000000052480864</v>
      </c>
      <c r="F557" s="31">
        <v>0</v>
      </c>
      <c r="G557" s="31">
        <v>0</v>
      </c>
      <c r="H557" s="31">
        <v>0</v>
      </c>
      <c r="I557" s="31">
        <v>0</v>
      </c>
      <c r="J557" s="47" t="s">
        <v>443</v>
      </c>
      <c r="K557" s="32">
        <v>0</v>
      </c>
      <c r="L557" s="32">
        <v>1</v>
      </c>
      <c r="M557" s="31">
        <v>-0.50000000052480864</v>
      </c>
      <c r="N557" s="31">
        <v>0</v>
      </c>
      <c r="O557" s="31">
        <v>0</v>
      </c>
      <c r="P557" s="31">
        <v>0</v>
      </c>
      <c r="Q557" s="31">
        <v>0</v>
      </c>
      <c r="R557" s="31">
        <v>0</v>
      </c>
      <c r="S557" s="31">
        <v>0</v>
      </c>
      <c r="T557" s="31" t="s">
        <v>47</v>
      </c>
      <c r="U557" s="31" t="s">
        <v>46</v>
      </c>
    </row>
    <row r="558" spans="1:21" x14ac:dyDescent="0.2">
      <c r="A558" s="31">
        <v>0.86421851977785324</v>
      </c>
      <c r="B558" s="46" t="s">
        <v>444</v>
      </c>
      <c r="C558" s="32">
        <v>0</v>
      </c>
      <c r="D558" s="32">
        <v>1</v>
      </c>
      <c r="E558" s="31">
        <v>0.50000000052480864</v>
      </c>
      <c r="F558" s="31">
        <v>0</v>
      </c>
      <c r="G558" s="31">
        <v>0</v>
      </c>
      <c r="H558" s="31">
        <v>0</v>
      </c>
      <c r="I558" s="31">
        <v>0</v>
      </c>
      <c r="J558" s="47" t="s">
        <v>445</v>
      </c>
      <c r="K558" s="32">
        <v>0</v>
      </c>
      <c r="L558" s="32">
        <v>1</v>
      </c>
      <c r="M558" s="31">
        <v>-0.50000000052480864</v>
      </c>
      <c r="N558" s="31">
        <v>0</v>
      </c>
      <c r="O558" s="31">
        <v>0</v>
      </c>
      <c r="P558" s="31">
        <v>0</v>
      </c>
      <c r="Q558" s="31">
        <v>0</v>
      </c>
      <c r="R558" s="31">
        <v>0</v>
      </c>
      <c r="S558" s="31">
        <v>0</v>
      </c>
      <c r="T558" s="31" t="s">
        <v>46</v>
      </c>
      <c r="U558" s="31" t="s">
        <v>46</v>
      </c>
    </row>
    <row r="559" spans="1:21" x14ac:dyDescent="0.2">
      <c r="A559" s="31">
        <v>0.87130227813668815</v>
      </c>
      <c r="B559" s="46" t="s">
        <v>446</v>
      </c>
      <c r="C559" s="32">
        <v>3.0000499999999999</v>
      </c>
      <c r="D559" s="32">
        <v>1</v>
      </c>
      <c r="E559" s="31">
        <v>0.50000000052480864</v>
      </c>
      <c r="F559" s="31">
        <v>0</v>
      </c>
      <c r="G559" s="31">
        <v>0</v>
      </c>
      <c r="H559" s="31">
        <v>0</v>
      </c>
      <c r="I559" s="31">
        <v>0</v>
      </c>
      <c r="J559" s="47" t="s">
        <v>447</v>
      </c>
      <c r="K559" s="32">
        <v>0</v>
      </c>
      <c r="L559" s="32">
        <v>1</v>
      </c>
      <c r="M559" s="31">
        <v>-0.50000000052480864</v>
      </c>
      <c r="N559" s="31">
        <v>0</v>
      </c>
      <c r="O559" s="31">
        <v>0</v>
      </c>
      <c r="P559" s="31">
        <v>0</v>
      </c>
      <c r="Q559" s="31">
        <v>0</v>
      </c>
      <c r="R559" s="31">
        <v>0</v>
      </c>
      <c r="S559" s="31">
        <v>0</v>
      </c>
      <c r="T559" s="31" t="s">
        <v>47</v>
      </c>
      <c r="U559" s="31" t="s">
        <v>46</v>
      </c>
    </row>
    <row r="560" spans="1:21" x14ac:dyDescent="0.2">
      <c r="A560" s="31">
        <v>0.87838603649552305</v>
      </c>
      <c r="B560" s="46" t="s">
        <v>448</v>
      </c>
      <c r="C560" s="32">
        <v>3.0000499999999999</v>
      </c>
      <c r="D560" s="32">
        <v>1</v>
      </c>
      <c r="E560" s="31">
        <v>0.50000000052480864</v>
      </c>
      <c r="F560" s="31">
        <v>0</v>
      </c>
      <c r="G560" s="31">
        <v>0</v>
      </c>
      <c r="H560" s="31">
        <v>0</v>
      </c>
      <c r="I560" s="31">
        <v>0</v>
      </c>
      <c r="J560" s="47" t="s">
        <v>449</v>
      </c>
      <c r="K560" s="32">
        <v>0</v>
      </c>
      <c r="L560" s="32">
        <v>1</v>
      </c>
      <c r="M560" s="31">
        <v>-0.50000000052480864</v>
      </c>
      <c r="N560" s="31">
        <v>0</v>
      </c>
      <c r="O560" s="31">
        <v>0</v>
      </c>
      <c r="P560" s="31">
        <v>0</v>
      </c>
      <c r="Q560" s="31">
        <v>0</v>
      </c>
      <c r="R560" s="31">
        <v>0</v>
      </c>
      <c r="S560" s="31">
        <v>0</v>
      </c>
      <c r="T560" s="31" t="s">
        <v>47</v>
      </c>
      <c r="U560" s="31" t="s">
        <v>46</v>
      </c>
    </row>
    <row r="561" spans="1:21" x14ac:dyDescent="0.2">
      <c r="A561" s="31">
        <v>0.88546979485435784</v>
      </c>
      <c r="B561" s="46" t="s">
        <v>450</v>
      </c>
      <c r="C561" s="32">
        <v>0</v>
      </c>
      <c r="D561" s="32">
        <v>1</v>
      </c>
      <c r="E561" s="31">
        <v>0.50000000052480864</v>
      </c>
      <c r="F561" s="31">
        <v>0</v>
      </c>
      <c r="G561" s="31">
        <v>0</v>
      </c>
      <c r="H561" s="31">
        <v>0</v>
      </c>
      <c r="I561" s="31">
        <v>0</v>
      </c>
      <c r="J561" s="47" t="s">
        <v>451</v>
      </c>
      <c r="K561" s="32">
        <v>0</v>
      </c>
      <c r="L561" s="32">
        <v>1</v>
      </c>
      <c r="M561" s="31">
        <v>-0.50000000052480864</v>
      </c>
      <c r="N561" s="31">
        <v>0</v>
      </c>
      <c r="O561" s="31">
        <v>0</v>
      </c>
      <c r="P561" s="31">
        <v>0</v>
      </c>
      <c r="Q561" s="31">
        <v>0</v>
      </c>
      <c r="R561" s="31">
        <v>0</v>
      </c>
      <c r="S561" s="31">
        <v>0</v>
      </c>
      <c r="T561" s="31" t="s">
        <v>46</v>
      </c>
      <c r="U561" s="31" t="s">
        <v>46</v>
      </c>
    </row>
    <row r="562" spans="1:21" x14ac:dyDescent="0.2">
      <c r="A562" s="31">
        <v>0.89255355321319274</v>
      </c>
      <c r="B562" s="46" t="s">
        <v>452</v>
      </c>
      <c r="C562" s="32">
        <v>3.0000499999999999</v>
      </c>
      <c r="D562" s="32">
        <v>1</v>
      </c>
      <c r="E562" s="31">
        <v>0.50000000052480864</v>
      </c>
      <c r="F562" s="31">
        <v>0</v>
      </c>
      <c r="G562" s="31">
        <v>0</v>
      </c>
      <c r="H562" s="31">
        <v>0</v>
      </c>
      <c r="I562" s="31">
        <v>0</v>
      </c>
      <c r="J562" s="47" t="s">
        <v>453</v>
      </c>
      <c r="K562" s="32">
        <v>0</v>
      </c>
      <c r="L562" s="32">
        <v>1</v>
      </c>
      <c r="M562" s="31">
        <v>-0.50000000052480864</v>
      </c>
      <c r="N562" s="31">
        <v>0</v>
      </c>
      <c r="O562" s="31">
        <v>0</v>
      </c>
      <c r="P562" s="31">
        <v>0</v>
      </c>
      <c r="Q562" s="31">
        <v>0</v>
      </c>
      <c r="R562" s="31">
        <v>0</v>
      </c>
      <c r="S562" s="31">
        <v>0</v>
      </c>
      <c r="T562" s="31" t="s">
        <v>47</v>
      </c>
      <c r="U562" s="31" t="s">
        <v>46</v>
      </c>
    </row>
    <row r="563" spans="1:21" x14ac:dyDescent="0.2">
      <c r="A563" s="31">
        <v>0.89963731157202764</v>
      </c>
      <c r="B563" s="46" t="s">
        <v>454</v>
      </c>
      <c r="C563" s="32">
        <v>0</v>
      </c>
      <c r="D563" s="32">
        <v>1</v>
      </c>
      <c r="E563" s="31">
        <v>0.50000000052480864</v>
      </c>
      <c r="F563" s="31">
        <v>0</v>
      </c>
      <c r="G563" s="31">
        <v>0</v>
      </c>
      <c r="H563" s="31">
        <v>0</v>
      </c>
      <c r="I563" s="31">
        <v>0</v>
      </c>
      <c r="J563" s="47" t="s">
        <v>455</v>
      </c>
      <c r="K563" s="32">
        <v>0</v>
      </c>
      <c r="L563" s="32">
        <v>1</v>
      </c>
      <c r="M563" s="31">
        <v>-0.50000000052480864</v>
      </c>
      <c r="N563" s="31">
        <v>0</v>
      </c>
      <c r="O563" s="31">
        <v>0</v>
      </c>
      <c r="P563" s="31">
        <v>0</v>
      </c>
      <c r="Q563" s="31">
        <v>0</v>
      </c>
      <c r="R563" s="31">
        <v>0</v>
      </c>
      <c r="S563" s="31">
        <v>0</v>
      </c>
      <c r="T563" s="31" t="s">
        <v>46</v>
      </c>
      <c r="U563" s="31" t="s">
        <v>46</v>
      </c>
    </row>
    <row r="564" spans="1:21" x14ac:dyDescent="0.2">
      <c r="A564" s="31">
        <v>0.90672106993086243</v>
      </c>
      <c r="B564" s="46" t="s">
        <v>456</v>
      </c>
      <c r="C564" s="32">
        <v>0</v>
      </c>
      <c r="D564" s="32">
        <v>1</v>
      </c>
      <c r="E564" s="31">
        <v>0.50000000052480864</v>
      </c>
      <c r="F564" s="31">
        <v>0</v>
      </c>
      <c r="G564" s="31">
        <v>0</v>
      </c>
      <c r="H564" s="31">
        <v>0</v>
      </c>
      <c r="I564" s="31">
        <v>0</v>
      </c>
      <c r="J564" s="47" t="s">
        <v>457</v>
      </c>
      <c r="K564" s="32">
        <v>0</v>
      </c>
      <c r="L564" s="32">
        <v>1</v>
      </c>
      <c r="M564" s="31">
        <v>-0.50000000052480864</v>
      </c>
      <c r="N564" s="31">
        <v>0</v>
      </c>
      <c r="O564" s="31">
        <v>0</v>
      </c>
      <c r="P564" s="31">
        <v>0</v>
      </c>
      <c r="Q564" s="31">
        <v>0</v>
      </c>
      <c r="R564" s="31">
        <v>0</v>
      </c>
      <c r="S564" s="31">
        <v>0</v>
      </c>
      <c r="T564" s="31" t="s">
        <v>46</v>
      </c>
      <c r="U564" s="31" t="s">
        <v>46</v>
      </c>
    </row>
    <row r="565" spans="1:21" x14ac:dyDescent="0.2">
      <c r="A565" s="31">
        <v>0.91380482828969734</v>
      </c>
      <c r="B565" s="46" t="s">
        <v>458</v>
      </c>
      <c r="C565" s="32">
        <v>3.0000499999999999</v>
      </c>
      <c r="D565" s="32">
        <v>1</v>
      </c>
      <c r="E565" s="31">
        <v>0.50000000052480864</v>
      </c>
      <c r="F565" s="31">
        <v>0</v>
      </c>
      <c r="G565" s="31">
        <v>0</v>
      </c>
      <c r="H565" s="31">
        <v>0</v>
      </c>
      <c r="I565" s="31">
        <v>0</v>
      </c>
      <c r="J565" s="47" t="s">
        <v>459</v>
      </c>
      <c r="K565" s="32">
        <v>0</v>
      </c>
      <c r="L565" s="32">
        <v>1</v>
      </c>
      <c r="M565" s="31">
        <v>-0.50000000052480864</v>
      </c>
      <c r="N565" s="31">
        <v>0</v>
      </c>
      <c r="O565" s="31">
        <v>0</v>
      </c>
      <c r="P565" s="31">
        <v>0</v>
      </c>
      <c r="Q565" s="31">
        <v>0</v>
      </c>
      <c r="R565" s="31">
        <v>0</v>
      </c>
      <c r="S565" s="31">
        <v>0</v>
      </c>
      <c r="T565" s="31" t="s">
        <v>47</v>
      </c>
      <c r="U565" s="31" t="s">
        <v>46</v>
      </c>
    </row>
    <row r="566" spans="1:21" x14ac:dyDescent="0.2">
      <c r="A566" s="31">
        <v>0.92088858664853224</v>
      </c>
      <c r="B566" s="46" t="s">
        <v>460</v>
      </c>
      <c r="C566" s="32">
        <v>0</v>
      </c>
      <c r="D566" s="32">
        <v>1</v>
      </c>
      <c r="E566" s="31">
        <v>0.50000000052480864</v>
      </c>
      <c r="F566" s="31">
        <v>0</v>
      </c>
      <c r="G566" s="31">
        <v>0</v>
      </c>
      <c r="H566" s="31">
        <v>0</v>
      </c>
      <c r="I566" s="31">
        <v>0</v>
      </c>
      <c r="J566" s="47" t="s">
        <v>461</v>
      </c>
      <c r="K566" s="32">
        <v>0</v>
      </c>
      <c r="L566" s="32">
        <v>1</v>
      </c>
      <c r="M566" s="31">
        <v>-0.50000000052480864</v>
      </c>
      <c r="N566" s="31">
        <v>0</v>
      </c>
      <c r="O566" s="31">
        <v>0</v>
      </c>
      <c r="P566" s="31">
        <v>0</v>
      </c>
      <c r="Q566" s="31">
        <v>0</v>
      </c>
      <c r="R566" s="31">
        <v>0</v>
      </c>
      <c r="S566" s="31">
        <v>0</v>
      </c>
      <c r="T566" s="31" t="s">
        <v>46</v>
      </c>
      <c r="U566" s="31" t="s">
        <v>46</v>
      </c>
    </row>
    <row r="567" spans="1:21" x14ac:dyDescent="0.2">
      <c r="A567" s="31">
        <v>0.92797234500736703</v>
      </c>
      <c r="B567" s="46" t="s">
        <v>462</v>
      </c>
      <c r="C567" s="32">
        <v>3.0000499999999999</v>
      </c>
      <c r="D567" s="32">
        <v>1</v>
      </c>
      <c r="E567" s="31">
        <v>0.50000000052480864</v>
      </c>
      <c r="F567" s="31">
        <v>0</v>
      </c>
      <c r="G567" s="31">
        <v>0</v>
      </c>
      <c r="H567" s="31">
        <v>0</v>
      </c>
      <c r="I567" s="48">
        <v>0</v>
      </c>
      <c r="J567" s="47" t="s">
        <v>463</v>
      </c>
      <c r="K567" s="32">
        <v>0</v>
      </c>
      <c r="L567" s="32">
        <v>1</v>
      </c>
      <c r="M567" s="31">
        <v>-0.50000000052480864</v>
      </c>
      <c r="N567" s="31">
        <v>0</v>
      </c>
      <c r="O567" s="31">
        <v>0</v>
      </c>
      <c r="P567" s="31">
        <v>0</v>
      </c>
      <c r="Q567" s="31">
        <v>0</v>
      </c>
      <c r="R567" s="31">
        <v>0</v>
      </c>
      <c r="S567" s="31">
        <v>0</v>
      </c>
      <c r="T567" s="31" t="s">
        <v>47</v>
      </c>
      <c r="U567" s="31" t="s">
        <v>46</v>
      </c>
    </row>
    <row r="568" spans="1:21" x14ac:dyDescent="0.2">
      <c r="A568" s="31">
        <v>0.93505610336620193</v>
      </c>
      <c r="B568" s="46" t="s">
        <v>464</v>
      </c>
      <c r="C568" s="32">
        <v>0</v>
      </c>
      <c r="D568" s="32">
        <v>1</v>
      </c>
      <c r="E568" s="31">
        <v>0.50000000052480864</v>
      </c>
      <c r="F568" s="31">
        <v>0</v>
      </c>
      <c r="G568" s="31">
        <v>0</v>
      </c>
      <c r="H568" s="31">
        <v>0</v>
      </c>
      <c r="I568" s="48">
        <v>0</v>
      </c>
      <c r="J568" s="47" t="s">
        <v>465</v>
      </c>
      <c r="K568" s="32">
        <v>0</v>
      </c>
      <c r="L568" s="32">
        <v>1</v>
      </c>
      <c r="M568" s="31">
        <v>-0.50000000052480864</v>
      </c>
      <c r="N568" s="31">
        <v>0</v>
      </c>
      <c r="O568" s="31">
        <v>0</v>
      </c>
      <c r="P568" s="31">
        <v>0</v>
      </c>
      <c r="Q568" s="31">
        <v>0</v>
      </c>
      <c r="R568" s="31">
        <v>0</v>
      </c>
      <c r="S568" s="31">
        <v>0</v>
      </c>
      <c r="T568" s="31" t="s">
        <v>46</v>
      </c>
      <c r="U568" s="31" t="s">
        <v>46</v>
      </c>
    </row>
    <row r="569" spans="1:21" x14ac:dyDescent="0.2">
      <c r="A569" s="31">
        <v>0.94213986172503683</v>
      </c>
      <c r="B569" s="46" t="s">
        <v>466</v>
      </c>
      <c r="C569" s="32">
        <v>3.0000499999999999</v>
      </c>
      <c r="D569" s="32">
        <v>1</v>
      </c>
      <c r="E569" s="31">
        <v>0.50000000052480864</v>
      </c>
      <c r="F569" s="31">
        <v>0</v>
      </c>
      <c r="G569" s="31">
        <v>0</v>
      </c>
      <c r="H569" s="31">
        <v>0</v>
      </c>
      <c r="I569" s="48">
        <v>0</v>
      </c>
      <c r="J569" s="47" t="s">
        <v>467</v>
      </c>
      <c r="K569" s="32">
        <v>0</v>
      </c>
      <c r="L569" s="32">
        <v>1</v>
      </c>
      <c r="M569" s="31">
        <v>-0.50000000052480864</v>
      </c>
      <c r="N569" s="31">
        <v>0</v>
      </c>
      <c r="O569" s="31">
        <v>0</v>
      </c>
      <c r="P569" s="31">
        <v>0</v>
      </c>
      <c r="Q569" s="31">
        <v>0</v>
      </c>
      <c r="R569" s="31">
        <v>0</v>
      </c>
      <c r="S569" s="31">
        <v>0</v>
      </c>
      <c r="T569" s="31" t="s">
        <v>47</v>
      </c>
      <c r="U569" s="31" t="s">
        <v>46</v>
      </c>
    </row>
    <row r="570" spans="1:21" x14ac:dyDescent="0.2">
      <c r="A570" s="31">
        <v>0.94922362008387162</v>
      </c>
      <c r="B570" s="46" t="s">
        <v>468</v>
      </c>
      <c r="C570" s="32">
        <v>3.0000499999999999</v>
      </c>
      <c r="D570" s="32">
        <v>1</v>
      </c>
      <c r="E570" s="31">
        <v>0.50000000052480864</v>
      </c>
      <c r="F570" s="31">
        <v>0</v>
      </c>
      <c r="G570" s="31">
        <v>0</v>
      </c>
      <c r="H570" s="31">
        <v>0</v>
      </c>
      <c r="I570" s="48">
        <v>0</v>
      </c>
      <c r="J570" s="47" t="s">
        <v>469</v>
      </c>
      <c r="K570" s="32">
        <v>0</v>
      </c>
      <c r="L570" s="32">
        <v>1</v>
      </c>
      <c r="M570" s="31">
        <v>-0.50000000052480864</v>
      </c>
      <c r="N570" s="31">
        <v>0</v>
      </c>
      <c r="O570" s="31">
        <v>0</v>
      </c>
      <c r="P570" s="31">
        <v>0</v>
      </c>
      <c r="Q570" s="31">
        <v>0</v>
      </c>
      <c r="R570" s="31">
        <v>0</v>
      </c>
      <c r="S570" s="31">
        <v>0</v>
      </c>
      <c r="T570" s="31" t="s">
        <v>47</v>
      </c>
      <c r="U570" s="31" t="s">
        <v>46</v>
      </c>
    </row>
    <row r="571" spans="1:21" x14ac:dyDescent="0.2">
      <c r="A571" s="31">
        <v>0.95630737844270652</v>
      </c>
      <c r="B571" s="46" t="s">
        <v>470</v>
      </c>
      <c r="C571" s="32">
        <v>3.0000499999999999</v>
      </c>
      <c r="D571" s="32">
        <v>1</v>
      </c>
      <c r="E571" s="31">
        <v>0.50000000052480864</v>
      </c>
      <c r="F571" s="31">
        <v>0</v>
      </c>
      <c r="G571" s="31">
        <v>0</v>
      </c>
      <c r="H571" s="31">
        <v>0</v>
      </c>
      <c r="I571" s="48">
        <v>0</v>
      </c>
      <c r="J571" s="47" t="s">
        <v>471</v>
      </c>
      <c r="K571" s="32">
        <v>0</v>
      </c>
      <c r="L571" s="32">
        <v>1</v>
      </c>
      <c r="M571" s="31">
        <v>-0.50000000052480864</v>
      </c>
      <c r="N571" s="31">
        <v>0</v>
      </c>
      <c r="O571" s="31">
        <v>0</v>
      </c>
      <c r="P571" s="31">
        <v>0</v>
      </c>
      <c r="Q571" s="31">
        <v>0</v>
      </c>
      <c r="R571" s="31">
        <v>0</v>
      </c>
      <c r="S571" s="31">
        <v>0</v>
      </c>
      <c r="T571" s="31" t="s">
        <v>47</v>
      </c>
      <c r="U571" s="31" t="s">
        <v>46</v>
      </c>
    </row>
    <row r="572" spans="1:21" x14ac:dyDescent="0.2">
      <c r="A572" s="31">
        <v>0.96339113680154143</v>
      </c>
      <c r="B572" s="46" t="s">
        <v>472</v>
      </c>
      <c r="C572" s="32">
        <v>0</v>
      </c>
      <c r="D572" s="32">
        <v>1</v>
      </c>
      <c r="E572" s="31">
        <v>0.50000000052480864</v>
      </c>
      <c r="F572" s="31">
        <v>0</v>
      </c>
      <c r="G572" s="31">
        <v>0</v>
      </c>
      <c r="H572" s="31">
        <v>0</v>
      </c>
      <c r="I572" s="48">
        <v>0</v>
      </c>
      <c r="J572" s="47" t="s">
        <v>473</v>
      </c>
      <c r="K572" s="32">
        <v>0</v>
      </c>
      <c r="L572" s="32">
        <v>1</v>
      </c>
      <c r="M572" s="31">
        <v>-0.50000000052480864</v>
      </c>
      <c r="N572" s="31">
        <v>0</v>
      </c>
      <c r="O572" s="31">
        <v>0</v>
      </c>
      <c r="P572" s="31">
        <v>0</v>
      </c>
      <c r="Q572" s="31">
        <v>0</v>
      </c>
      <c r="R572" s="31">
        <v>0</v>
      </c>
      <c r="S572" s="31">
        <v>0</v>
      </c>
      <c r="T572" s="31" t="s">
        <v>46</v>
      </c>
      <c r="U572" s="31" t="s">
        <v>46</v>
      </c>
    </row>
    <row r="573" spans="1:21" x14ac:dyDescent="0.2">
      <c r="A573" s="31">
        <v>0.97047489516037622</v>
      </c>
      <c r="B573" s="46" t="s">
        <v>474</v>
      </c>
      <c r="C573" s="32">
        <v>0</v>
      </c>
      <c r="D573" s="32">
        <v>1</v>
      </c>
      <c r="E573" s="31">
        <v>0.50000000052480864</v>
      </c>
      <c r="F573" s="31">
        <v>0</v>
      </c>
      <c r="G573" s="31">
        <v>0</v>
      </c>
      <c r="H573" s="31">
        <v>0</v>
      </c>
      <c r="I573" s="48">
        <v>0</v>
      </c>
      <c r="J573" s="47" t="s">
        <v>475</v>
      </c>
      <c r="K573" s="32">
        <v>0</v>
      </c>
      <c r="L573" s="32">
        <v>1</v>
      </c>
      <c r="M573" s="31">
        <v>-0.50000000052480864</v>
      </c>
      <c r="N573" s="31">
        <v>0</v>
      </c>
      <c r="O573" s="31">
        <v>0</v>
      </c>
      <c r="P573" s="31">
        <v>0</v>
      </c>
      <c r="Q573" s="31">
        <v>0</v>
      </c>
      <c r="R573" s="31">
        <v>0</v>
      </c>
      <c r="S573" s="31">
        <v>0</v>
      </c>
      <c r="T573" s="31" t="s">
        <v>46</v>
      </c>
      <c r="U573" s="31" t="s">
        <v>46</v>
      </c>
    </row>
    <row r="574" spans="1:21" x14ac:dyDescent="0.2">
      <c r="A574" s="31">
        <v>0.97755865351921112</v>
      </c>
      <c r="B574" s="46" t="s">
        <v>476</v>
      </c>
      <c r="C574" s="32">
        <v>0</v>
      </c>
      <c r="D574" s="32">
        <v>1</v>
      </c>
      <c r="E574" s="31">
        <v>0.50000000052480864</v>
      </c>
      <c r="F574" s="31">
        <v>0</v>
      </c>
      <c r="G574" s="31">
        <v>0</v>
      </c>
      <c r="H574" s="31">
        <v>0</v>
      </c>
      <c r="I574" s="48">
        <v>0</v>
      </c>
      <c r="J574" s="47" t="s">
        <v>477</v>
      </c>
      <c r="K574" s="32">
        <v>0</v>
      </c>
      <c r="L574" s="32">
        <v>1</v>
      </c>
      <c r="M574" s="31">
        <v>-0.50000000052480864</v>
      </c>
      <c r="N574" s="31">
        <v>0</v>
      </c>
      <c r="O574" s="31">
        <v>0</v>
      </c>
      <c r="P574" s="31">
        <v>0</v>
      </c>
      <c r="Q574" s="31">
        <v>0</v>
      </c>
      <c r="R574" s="31">
        <v>0</v>
      </c>
      <c r="S574" s="31">
        <v>0</v>
      </c>
      <c r="T574" s="31" t="s">
        <v>46</v>
      </c>
      <c r="U574" s="31" t="s">
        <v>46</v>
      </c>
    </row>
    <row r="575" spans="1:21" x14ac:dyDescent="0.2">
      <c r="A575" s="31">
        <v>0.98464241187804602</v>
      </c>
      <c r="B575" s="46" t="s">
        <v>478</v>
      </c>
      <c r="C575" s="32">
        <v>0</v>
      </c>
      <c r="D575" s="32">
        <v>1</v>
      </c>
      <c r="E575" s="31">
        <v>0.50000000052480864</v>
      </c>
      <c r="F575" s="31">
        <v>0</v>
      </c>
      <c r="G575" s="31">
        <v>0</v>
      </c>
      <c r="H575" s="31">
        <v>0</v>
      </c>
      <c r="I575" s="48">
        <v>0</v>
      </c>
      <c r="J575" s="47" t="s">
        <v>479</v>
      </c>
      <c r="K575" s="32">
        <v>0</v>
      </c>
      <c r="L575" s="32">
        <v>1</v>
      </c>
      <c r="M575" s="31">
        <v>-0.50000000052480864</v>
      </c>
      <c r="N575" s="31">
        <v>0</v>
      </c>
      <c r="O575" s="31">
        <v>0</v>
      </c>
      <c r="P575" s="31">
        <v>0</v>
      </c>
      <c r="Q575" s="31">
        <v>0</v>
      </c>
      <c r="R575" s="31">
        <v>0</v>
      </c>
      <c r="S575" s="31">
        <v>0</v>
      </c>
      <c r="T575" s="31" t="s">
        <v>46</v>
      </c>
      <c r="U575" s="31" t="s">
        <v>46</v>
      </c>
    </row>
    <row r="576" spans="1:21" x14ac:dyDescent="0.2">
      <c r="A576" s="31">
        <v>0.99172617023688081</v>
      </c>
      <c r="B576" s="46" t="s">
        <v>480</v>
      </c>
      <c r="C576" s="32">
        <v>0</v>
      </c>
      <c r="D576" s="32">
        <v>1</v>
      </c>
      <c r="E576" s="31">
        <v>0.50000000052480864</v>
      </c>
      <c r="F576" s="31">
        <v>0</v>
      </c>
      <c r="G576" s="31">
        <v>0</v>
      </c>
      <c r="H576" s="31">
        <v>0</v>
      </c>
      <c r="I576" s="48">
        <v>0</v>
      </c>
      <c r="J576" s="47" t="s">
        <v>481</v>
      </c>
      <c r="K576" s="32">
        <v>0</v>
      </c>
      <c r="L576" s="32">
        <v>1</v>
      </c>
      <c r="M576" s="31">
        <v>-0.50000000052480864</v>
      </c>
      <c r="N576" s="31">
        <v>0</v>
      </c>
      <c r="O576" s="31">
        <v>0</v>
      </c>
      <c r="P576" s="31">
        <v>0</v>
      </c>
      <c r="Q576" s="31">
        <v>0</v>
      </c>
      <c r="R576" s="31">
        <v>0</v>
      </c>
      <c r="S576" s="31">
        <v>0</v>
      </c>
      <c r="T576" s="31" t="s">
        <v>46</v>
      </c>
      <c r="U576" s="31" t="s">
        <v>46</v>
      </c>
    </row>
    <row r="577" spans="1:21" x14ac:dyDescent="0.2">
      <c r="A577" s="31">
        <v>0.99880992859571571</v>
      </c>
      <c r="B577" s="46" t="s">
        <v>482</v>
      </c>
      <c r="C577" s="32">
        <v>0</v>
      </c>
      <c r="D577" s="32">
        <v>1</v>
      </c>
      <c r="E577" s="31">
        <v>0.50000000052480864</v>
      </c>
      <c r="F577" s="31">
        <v>0</v>
      </c>
      <c r="G577" s="31">
        <v>0</v>
      </c>
      <c r="H577" s="31">
        <v>0</v>
      </c>
      <c r="I577" s="48">
        <v>0</v>
      </c>
      <c r="J577" s="47" t="s">
        <v>483</v>
      </c>
      <c r="K577" s="32">
        <v>0</v>
      </c>
      <c r="L577" s="32">
        <v>1</v>
      </c>
      <c r="M577" s="31">
        <v>-0.50000000052480864</v>
      </c>
      <c r="N577" s="31">
        <v>0</v>
      </c>
      <c r="O577" s="31">
        <v>0</v>
      </c>
      <c r="P577" s="31">
        <v>0</v>
      </c>
      <c r="Q577" s="31">
        <v>0</v>
      </c>
      <c r="R577" s="31">
        <v>0</v>
      </c>
      <c r="S577" s="31">
        <v>0</v>
      </c>
      <c r="T577" s="31" t="s">
        <v>46</v>
      </c>
      <c r="U577" s="31" t="s">
        <v>46</v>
      </c>
    </row>
    <row r="578" spans="1:21" x14ac:dyDescent="0.2">
      <c r="A578" s="31">
        <v>1.0058936869545505</v>
      </c>
      <c r="B578" s="46" t="s">
        <v>484</v>
      </c>
      <c r="C578" s="32">
        <v>0</v>
      </c>
      <c r="D578" s="32">
        <v>1</v>
      </c>
      <c r="E578" s="31">
        <v>0.50000000052480864</v>
      </c>
      <c r="F578" s="31">
        <v>0</v>
      </c>
      <c r="G578" s="31">
        <v>0</v>
      </c>
      <c r="H578" s="31">
        <v>0</v>
      </c>
      <c r="I578" s="48">
        <v>0</v>
      </c>
      <c r="J578" s="47" t="s">
        <v>485</v>
      </c>
      <c r="K578" s="32">
        <v>0</v>
      </c>
      <c r="L578" s="32">
        <v>1</v>
      </c>
      <c r="M578" s="31">
        <v>-0.50000000052480864</v>
      </c>
      <c r="N578" s="31">
        <v>0</v>
      </c>
      <c r="O578" s="31">
        <v>0</v>
      </c>
      <c r="P578" s="31">
        <v>0</v>
      </c>
      <c r="Q578" s="31">
        <v>0</v>
      </c>
      <c r="R578" s="31">
        <v>0</v>
      </c>
      <c r="S578" s="31">
        <v>0</v>
      </c>
      <c r="T578" s="31" t="s">
        <v>46</v>
      </c>
      <c r="U578" s="31" t="s">
        <v>46</v>
      </c>
    </row>
    <row r="579" spans="1:21" x14ac:dyDescent="0.2">
      <c r="A579" s="31">
        <v>1.0129774453133855</v>
      </c>
      <c r="B579" s="46" t="s">
        <v>486</v>
      </c>
      <c r="C579" s="32">
        <v>0</v>
      </c>
      <c r="D579" s="32">
        <v>1</v>
      </c>
      <c r="E579" s="31">
        <v>0.50000000052480864</v>
      </c>
      <c r="F579" s="31">
        <v>0</v>
      </c>
      <c r="G579" s="31">
        <v>0</v>
      </c>
      <c r="H579" s="31">
        <v>0</v>
      </c>
      <c r="I579" s="48">
        <v>0</v>
      </c>
      <c r="J579" s="47" t="s">
        <v>487</v>
      </c>
      <c r="K579" s="32">
        <v>0</v>
      </c>
      <c r="L579" s="32">
        <v>1</v>
      </c>
      <c r="M579" s="31">
        <v>-0.50000000052480864</v>
      </c>
      <c r="N579" s="31">
        <v>0</v>
      </c>
      <c r="O579" s="31">
        <v>0</v>
      </c>
      <c r="P579" s="31">
        <v>0</v>
      </c>
      <c r="Q579" s="31">
        <v>0</v>
      </c>
      <c r="R579" s="31">
        <v>0</v>
      </c>
      <c r="S579" s="31">
        <v>0</v>
      </c>
      <c r="T579" s="31" t="s">
        <v>46</v>
      </c>
      <c r="U579" s="31" t="s">
        <v>46</v>
      </c>
    </row>
    <row r="580" spans="1:21" x14ac:dyDescent="0.2">
      <c r="A580" s="31">
        <v>1.0200612036722203</v>
      </c>
      <c r="B580" s="46" t="s">
        <v>488</v>
      </c>
      <c r="C580" s="32">
        <v>0</v>
      </c>
      <c r="D580" s="32">
        <v>1</v>
      </c>
      <c r="E580" s="31">
        <v>0.50000000052480864</v>
      </c>
      <c r="F580" s="31">
        <v>0</v>
      </c>
      <c r="G580" s="31">
        <v>0</v>
      </c>
      <c r="H580" s="31">
        <v>0</v>
      </c>
      <c r="I580" s="48">
        <v>0</v>
      </c>
      <c r="J580" s="47" t="s">
        <v>489</v>
      </c>
      <c r="K580" s="32">
        <v>0</v>
      </c>
      <c r="L580" s="32">
        <v>1</v>
      </c>
      <c r="M580" s="31">
        <v>-0.50000000052480864</v>
      </c>
      <c r="N580" s="31">
        <v>0</v>
      </c>
      <c r="O580" s="31">
        <v>0</v>
      </c>
      <c r="P580" s="31">
        <v>0</v>
      </c>
      <c r="Q580" s="31">
        <v>0</v>
      </c>
      <c r="R580" s="31">
        <v>0</v>
      </c>
      <c r="S580" s="31">
        <v>0</v>
      </c>
      <c r="T580" s="31" t="s">
        <v>46</v>
      </c>
      <c r="U580" s="31" t="s">
        <v>46</v>
      </c>
    </row>
    <row r="581" spans="1:21" x14ac:dyDescent="0.2">
      <c r="A581" s="31">
        <v>1.0271449620310551</v>
      </c>
      <c r="B581" s="46" t="s">
        <v>490</v>
      </c>
      <c r="C581" s="32">
        <v>0</v>
      </c>
      <c r="D581" s="32">
        <v>1</v>
      </c>
      <c r="E581" s="31">
        <v>0.50000000052480864</v>
      </c>
      <c r="F581" s="31">
        <v>0</v>
      </c>
      <c r="G581" s="31">
        <v>0</v>
      </c>
      <c r="H581" s="31">
        <v>0</v>
      </c>
      <c r="I581" s="48">
        <v>0</v>
      </c>
      <c r="J581" s="47" t="s">
        <v>491</v>
      </c>
      <c r="K581" s="32">
        <v>0</v>
      </c>
      <c r="L581" s="32">
        <v>1</v>
      </c>
      <c r="M581" s="31">
        <v>-0.50000000052480864</v>
      </c>
      <c r="N581" s="31">
        <v>0</v>
      </c>
      <c r="O581" s="31">
        <v>0</v>
      </c>
      <c r="P581" s="31">
        <v>0</v>
      </c>
      <c r="Q581" s="31">
        <v>0</v>
      </c>
      <c r="R581" s="31">
        <v>0</v>
      </c>
      <c r="S581" s="31">
        <v>0</v>
      </c>
      <c r="T581" s="31" t="s">
        <v>46</v>
      </c>
      <c r="U581" s="31" t="s">
        <v>46</v>
      </c>
    </row>
    <row r="582" spans="1:21" x14ac:dyDescent="0.2">
      <c r="A582" s="31">
        <v>1.0342287203898901</v>
      </c>
      <c r="B582" s="46" t="s">
        <v>492</v>
      </c>
      <c r="C582" s="32">
        <v>0</v>
      </c>
      <c r="D582" s="32">
        <v>1</v>
      </c>
      <c r="E582" s="31">
        <v>0.50000000052480864</v>
      </c>
      <c r="F582" s="31">
        <v>0</v>
      </c>
      <c r="G582" s="31">
        <v>0</v>
      </c>
      <c r="H582" s="31">
        <v>0</v>
      </c>
      <c r="I582" s="48">
        <v>0</v>
      </c>
      <c r="J582" s="47" t="s">
        <v>493</v>
      </c>
      <c r="K582" s="32">
        <v>0</v>
      </c>
      <c r="L582" s="32">
        <v>1</v>
      </c>
      <c r="M582" s="31">
        <v>-0.50000000052480864</v>
      </c>
      <c r="N582" s="31">
        <v>0</v>
      </c>
      <c r="O582" s="31">
        <v>0</v>
      </c>
      <c r="P582" s="31">
        <v>0</v>
      </c>
      <c r="Q582" s="31">
        <v>0</v>
      </c>
      <c r="R582" s="31">
        <v>0</v>
      </c>
      <c r="S582" s="31">
        <v>0</v>
      </c>
      <c r="T582" s="31" t="s">
        <v>46</v>
      </c>
      <c r="U582" s="31" t="s">
        <v>46</v>
      </c>
    </row>
    <row r="583" spans="1:21" x14ac:dyDescent="0.2">
      <c r="A583" s="31">
        <v>1.0413124787487249</v>
      </c>
      <c r="B583" s="46" t="s">
        <v>494</v>
      </c>
      <c r="C583" s="32">
        <v>0</v>
      </c>
      <c r="D583" s="32">
        <v>1</v>
      </c>
      <c r="E583" s="31">
        <v>0.50000000052480864</v>
      </c>
      <c r="F583" s="31">
        <v>0</v>
      </c>
      <c r="G583" s="31">
        <v>0</v>
      </c>
      <c r="H583" s="31">
        <v>0</v>
      </c>
      <c r="I583" s="48">
        <v>0</v>
      </c>
      <c r="J583" s="47" t="s">
        <v>495</v>
      </c>
      <c r="K583" s="32">
        <v>0</v>
      </c>
      <c r="L583" s="32">
        <v>1</v>
      </c>
      <c r="M583" s="31">
        <v>-0.50000000052480864</v>
      </c>
      <c r="N583" s="31">
        <v>0</v>
      </c>
      <c r="O583" s="31">
        <v>0</v>
      </c>
      <c r="P583" s="31">
        <v>0</v>
      </c>
      <c r="Q583" s="31">
        <v>0</v>
      </c>
      <c r="R583" s="31">
        <v>0</v>
      </c>
      <c r="S583" s="31">
        <v>0</v>
      </c>
      <c r="T583" s="31" t="s">
        <v>46</v>
      </c>
      <c r="U583" s="31" t="s">
        <v>46</v>
      </c>
    </row>
    <row r="584" spans="1:21" x14ac:dyDescent="0.2">
      <c r="A584" s="31">
        <v>1.0483962371075597</v>
      </c>
      <c r="B584" s="46" t="s">
        <v>496</v>
      </c>
      <c r="C584" s="32">
        <v>0</v>
      </c>
      <c r="D584" s="32">
        <v>1</v>
      </c>
      <c r="E584" s="31">
        <v>0.50000000052480864</v>
      </c>
      <c r="F584" s="31">
        <v>0</v>
      </c>
      <c r="G584" s="31">
        <v>0</v>
      </c>
      <c r="H584" s="31">
        <v>0</v>
      </c>
      <c r="I584" s="48">
        <v>0</v>
      </c>
      <c r="J584" s="47" t="s">
        <v>497</v>
      </c>
      <c r="K584" s="32">
        <v>0</v>
      </c>
      <c r="L584" s="32">
        <v>1</v>
      </c>
      <c r="M584" s="31">
        <v>-0.50000000052480864</v>
      </c>
      <c r="N584" s="31">
        <v>0</v>
      </c>
      <c r="O584" s="31">
        <v>0</v>
      </c>
      <c r="P584" s="31">
        <v>0</v>
      </c>
      <c r="Q584" s="31">
        <v>0</v>
      </c>
      <c r="R584" s="31">
        <v>0</v>
      </c>
      <c r="S584" s="31">
        <v>0</v>
      </c>
      <c r="T584" s="31" t="s">
        <v>46</v>
      </c>
      <c r="U584" s="31" t="s">
        <v>46</v>
      </c>
    </row>
    <row r="585" spans="1:21" x14ac:dyDescent="0.2">
      <c r="A585" s="31">
        <v>1.0554799954663947</v>
      </c>
      <c r="B585" s="46" t="s">
        <v>498</v>
      </c>
      <c r="C585" s="32">
        <v>0</v>
      </c>
      <c r="D585" s="32">
        <v>1</v>
      </c>
      <c r="E585" s="31">
        <v>0.50000000052480864</v>
      </c>
      <c r="F585" s="31">
        <v>0</v>
      </c>
      <c r="G585" s="31">
        <v>0</v>
      </c>
      <c r="H585" s="31">
        <v>0</v>
      </c>
      <c r="I585" s="48">
        <v>0</v>
      </c>
      <c r="J585" s="47" t="s">
        <v>499</v>
      </c>
      <c r="K585" s="32">
        <v>0</v>
      </c>
      <c r="L585" s="32">
        <v>1</v>
      </c>
      <c r="M585" s="31">
        <v>-0.50000000052480864</v>
      </c>
      <c r="N585" s="31">
        <v>0</v>
      </c>
      <c r="O585" s="31">
        <v>0</v>
      </c>
      <c r="P585" s="31">
        <v>0</v>
      </c>
      <c r="Q585" s="31">
        <v>0</v>
      </c>
      <c r="R585" s="31">
        <v>0</v>
      </c>
      <c r="S585" s="31">
        <v>0</v>
      </c>
      <c r="T585" s="31" t="s">
        <v>46</v>
      </c>
      <c r="U585" s="31" t="s">
        <v>46</v>
      </c>
    </row>
    <row r="586" spans="1:21" x14ac:dyDescent="0.2">
      <c r="A586" s="31">
        <v>1.0625637538252295</v>
      </c>
      <c r="B586" s="46" t="s">
        <v>500</v>
      </c>
      <c r="C586" s="32">
        <v>0</v>
      </c>
      <c r="D586" s="32">
        <v>1</v>
      </c>
      <c r="E586" s="31">
        <v>0.50000000052480864</v>
      </c>
      <c r="F586" s="31">
        <v>0</v>
      </c>
      <c r="G586" s="31">
        <v>0</v>
      </c>
      <c r="H586" s="31">
        <v>0</v>
      </c>
      <c r="I586" s="48">
        <v>0</v>
      </c>
      <c r="J586" s="47" t="s">
        <v>501</v>
      </c>
      <c r="K586" s="32">
        <v>0</v>
      </c>
      <c r="L586" s="32">
        <v>1</v>
      </c>
      <c r="M586" s="31">
        <v>-0.50000000052480864</v>
      </c>
      <c r="N586" s="31">
        <v>0</v>
      </c>
      <c r="O586" s="31">
        <v>0</v>
      </c>
      <c r="P586" s="31">
        <v>0</v>
      </c>
      <c r="Q586" s="31">
        <v>0</v>
      </c>
      <c r="R586" s="31">
        <v>0</v>
      </c>
      <c r="S586" s="31">
        <v>0</v>
      </c>
      <c r="T586" s="31" t="s">
        <v>46</v>
      </c>
      <c r="U586" s="31" t="s">
        <v>46</v>
      </c>
    </row>
    <row r="587" spans="1:21" x14ac:dyDescent="0.2">
      <c r="A587" s="31">
        <v>1.0696475121840643</v>
      </c>
      <c r="B587" s="46" t="s">
        <v>502</v>
      </c>
      <c r="C587" s="32">
        <v>0</v>
      </c>
      <c r="D587" s="32">
        <v>1</v>
      </c>
      <c r="E587" s="31">
        <v>0.50000000052480864</v>
      </c>
      <c r="F587" s="31">
        <v>0</v>
      </c>
      <c r="G587" s="31">
        <v>0</v>
      </c>
      <c r="H587" s="31">
        <v>0</v>
      </c>
      <c r="I587" s="48">
        <v>0</v>
      </c>
      <c r="J587" s="47" t="s">
        <v>503</v>
      </c>
      <c r="K587" s="32">
        <v>0</v>
      </c>
      <c r="L587" s="32">
        <v>1</v>
      </c>
      <c r="M587" s="31">
        <v>-0.50000000052480864</v>
      </c>
      <c r="N587" s="31">
        <v>0</v>
      </c>
      <c r="O587" s="31">
        <v>0</v>
      </c>
      <c r="P587" s="31">
        <v>0</v>
      </c>
      <c r="Q587" s="31">
        <v>0</v>
      </c>
      <c r="R587" s="31">
        <v>0</v>
      </c>
      <c r="S587" s="31">
        <v>0</v>
      </c>
      <c r="T587" s="31" t="s">
        <v>46</v>
      </c>
      <c r="U587" s="31" t="s">
        <v>46</v>
      </c>
    </row>
    <row r="588" spans="1:21" x14ac:dyDescent="0.2">
      <c r="A588" s="31">
        <v>1.0767312705428993</v>
      </c>
      <c r="B588" s="46" t="s">
        <v>504</v>
      </c>
      <c r="C588" s="32">
        <v>0</v>
      </c>
      <c r="D588" s="32">
        <v>1</v>
      </c>
      <c r="E588" s="31">
        <v>0.50000000052480864</v>
      </c>
      <c r="F588" s="31">
        <v>0</v>
      </c>
      <c r="G588" s="31">
        <v>0</v>
      </c>
      <c r="H588" s="31">
        <v>0</v>
      </c>
      <c r="I588" s="48">
        <v>0</v>
      </c>
      <c r="J588" s="47" t="s">
        <v>505</v>
      </c>
      <c r="K588" s="32">
        <v>0</v>
      </c>
      <c r="L588" s="32">
        <v>1</v>
      </c>
      <c r="M588" s="31">
        <v>-0.50000000052480864</v>
      </c>
      <c r="N588" s="31">
        <v>0</v>
      </c>
      <c r="O588" s="31">
        <v>0</v>
      </c>
      <c r="P588" s="31">
        <v>0</v>
      </c>
      <c r="Q588" s="31">
        <v>0</v>
      </c>
      <c r="R588" s="31">
        <v>0</v>
      </c>
      <c r="S588" s="31">
        <v>0</v>
      </c>
      <c r="T588" s="31" t="s">
        <v>46</v>
      </c>
      <c r="U588" s="31" t="s">
        <v>46</v>
      </c>
    </row>
    <row r="589" spans="1:21" x14ac:dyDescent="0.2">
      <c r="A589" s="31">
        <v>1.0838150289017341</v>
      </c>
      <c r="B589" s="46" t="s">
        <v>506</v>
      </c>
      <c r="C589" s="32">
        <v>0</v>
      </c>
      <c r="D589" s="32">
        <v>1</v>
      </c>
      <c r="E589" s="31">
        <v>0.50000000052480864</v>
      </c>
      <c r="F589" s="31">
        <v>0</v>
      </c>
      <c r="G589" s="31">
        <v>0</v>
      </c>
      <c r="H589" s="31">
        <v>0</v>
      </c>
      <c r="I589" s="48">
        <v>0</v>
      </c>
      <c r="J589" s="47" t="s">
        <v>507</v>
      </c>
      <c r="K589" s="32">
        <v>0</v>
      </c>
      <c r="L589" s="32">
        <v>1</v>
      </c>
      <c r="M589" s="31">
        <v>-0.50000000052480864</v>
      </c>
      <c r="N589" s="31">
        <v>0</v>
      </c>
      <c r="O589" s="31">
        <v>0</v>
      </c>
      <c r="P589" s="31">
        <v>0</v>
      </c>
      <c r="Q589" s="31">
        <v>0</v>
      </c>
      <c r="R589" s="31">
        <v>0</v>
      </c>
      <c r="S589" s="31">
        <v>0</v>
      </c>
      <c r="T589" s="31" t="s">
        <v>46</v>
      </c>
      <c r="U589" s="31" t="s">
        <v>46</v>
      </c>
    </row>
    <row r="590" spans="1:21" x14ac:dyDescent="0.2">
      <c r="A590" s="31">
        <v>1.0908987872605689</v>
      </c>
      <c r="B590" s="46" t="s">
        <v>508</v>
      </c>
      <c r="C590" s="32">
        <v>0</v>
      </c>
      <c r="D590" s="32">
        <v>1</v>
      </c>
      <c r="E590" s="31">
        <v>0.50000000052480864</v>
      </c>
      <c r="F590" s="31">
        <v>0</v>
      </c>
      <c r="G590" s="31">
        <v>0</v>
      </c>
      <c r="H590" s="31">
        <v>0</v>
      </c>
      <c r="I590" s="48">
        <v>0</v>
      </c>
      <c r="J590" s="47" t="s">
        <v>509</v>
      </c>
      <c r="K590" s="32">
        <v>0</v>
      </c>
      <c r="L590" s="32">
        <v>1</v>
      </c>
      <c r="M590" s="31">
        <v>-0.50000000052480864</v>
      </c>
      <c r="N590" s="31">
        <v>0</v>
      </c>
      <c r="O590" s="31">
        <v>0</v>
      </c>
      <c r="P590" s="31">
        <v>0</v>
      </c>
      <c r="Q590" s="31">
        <v>0</v>
      </c>
      <c r="R590" s="31">
        <v>0</v>
      </c>
      <c r="S590" s="31">
        <v>0</v>
      </c>
      <c r="T590" s="31" t="s">
        <v>46</v>
      </c>
      <c r="U590" s="31" t="s">
        <v>46</v>
      </c>
    </row>
    <row r="591" spans="1:21" x14ac:dyDescent="0.2">
      <c r="A591" s="31">
        <v>1.0979825456194037</v>
      </c>
      <c r="B591" s="46" t="s">
        <v>510</v>
      </c>
      <c r="C591" s="32">
        <v>0</v>
      </c>
      <c r="D591" s="32">
        <v>1</v>
      </c>
      <c r="E591" s="31">
        <v>0.50000000052480864</v>
      </c>
      <c r="F591" s="31">
        <v>0</v>
      </c>
      <c r="G591" s="31">
        <v>0</v>
      </c>
      <c r="H591" s="31">
        <v>0</v>
      </c>
      <c r="I591" s="48">
        <v>0</v>
      </c>
      <c r="J591" s="47" t="s">
        <v>511</v>
      </c>
      <c r="K591" s="32">
        <v>0</v>
      </c>
      <c r="L591" s="32">
        <v>1</v>
      </c>
      <c r="M591" s="31">
        <v>-0.50000000052480864</v>
      </c>
      <c r="N591" s="31">
        <v>0</v>
      </c>
      <c r="O591" s="31">
        <v>0</v>
      </c>
      <c r="P591" s="31">
        <v>0</v>
      </c>
      <c r="Q591" s="31">
        <v>0</v>
      </c>
      <c r="R591" s="31">
        <v>0</v>
      </c>
      <c r="S591" s="31">
        <v>0</v>
      </c>
      <c r="T591" s="31" t="s">
        <v>46</v>
      </c>
      <c r="U591" s="31" t="s">
        <v>46</v>
      </c>
    </row>
    <row r="592" spans="1:21" x14ac:dyDescent="0.2">
      <c r="A592" s="31">
        <v>1.1050663039782387</v>
      </c>
      <c r="B592" s="46" t="s">
        <v>512</v>
      </c>
      <c r="C592" s="32">
        <v>0</v>
      </c>
      <c r="D592" s="32">
        <v>1</v>
      </c>
      <c r="E592" s="31">
        <v>0.50000000052480864</v>
      </c>
      <c r="F592" s="31">
        <v>0</v>
      </c>
      <c r="G592" s="31">
        <v>0</v>
      </c>
      <c r="H592" s="31">
        <v>0</v>
      </c>
      <c r="I592" s="48">
        <v>0</v>
      </c>
      <c r="J592" s="47" t="s">
        <v>513</v>
      </c>
      <c r="K592" s="32">
        <v>0</v>
      </c>
      <c r="L592" s="32">
        <v>1</v>
      </c>
      <c r="M592" s="31">
        <v>-0.50000000052480864</v>
      </c>
      <c r="N592" s="31">
        <v>0</v>
      </c>
      <c r="O592" s="31">
        <v>0</v>
      </c>
      <c r="P592" s="31">
        <v>0</v>
      </c>
      <c r="Q592" s="31">
        <v>0</v>
      </c>
      <c r="R592" s="31">
        <v>0</v>
      </c>
      <c r="S592" s="31">
        <v>0</v>
      </c>
      <c r="T592" s="31" t="s">
        <v>46</v>
      </c>
      <c r="U592" s="31" t="s">
        <v>46</v>
      </c>
    </row>
    <row r="593" spans="1:21" x14ac:dyDescent="0.2">
      <c r="A593" s="31">
        <v>1.1121500623370735</v>
      </c>
      <c r="B593" s="46" t="s">
        <v>514</v>
      </c>
      <c r="C593" s="32">
        <v>0</v>
      </c>
      <c r="D593" s="32">
        <v>1</v>
      </c>
      <c r="E593" s="31">
        <v>0.50000000052480864</v>
      </c>
      <c r="F593" s="31">
        <v>0</v>
      </c>
      <c r="G593" s="31">
        <v>0</v>
      </c>
      <c r="H593" s="31">
        <v>0</v>
      </c>
      <c r="I593" s="48">
        <v>0</v>
      </c>
      <c r="J593" s="47" t="s">
        <v>515</v>
      </c>
      <c r="K593" s="32">
        <v>0</v>
      </c>
      <c r="L593" s="32">
        <v>1</v>
      </c>
      <c r="M593" s="31">
        <v>-0.50000000052480864</v>
      </c>
      <c r="N593" s="31">
        <v>0</v>
      </c>
      <c r="O593" s="31">
        <v>0</v>
      </c>
      <c r="P593" s="31">
        <v>0</v>
      </c>
      <c r="Q593" s="31">
        <v>0</v>
      </c>
      <c r="R593" s="31">
        <v>0</v>
      </c>
      <c r="S593" s="31">
        <v>0</v>
      </c>
      <c r="T593" s="31" t="s">
        <v>46</v>
      </c>
      <c r="U593" s="31" t="s">
        <v>46</v>
      </c>
    </row>
    <row r="594" spans="1:21" x14ac:dyDescent="0.2">
      <c r="A594" s="31">
        <v>1.1192338206959083</v>
      </c>
      <c r="B594" s="46" t="s">
        <v>516</v>
      </c>
      <c r="C594" s="32">
        <v>0</v>
      </c>
      <c r="D594" s="32">
        <v>1</v>
      </c>
      <c r="E594" s="31">
        <v>0.50000000052480864</v>
      </c>
      <c r="F594" s="31">
        <v>0</v>
      </c>
      <c r="G594" s="31">
        <v>0</v>
      </c>
      <c r="H594" s="31">
        <v>0</v>
      </c>
      <c r="I594" s="48">
        <v>0</v>
      </c>
      <c r="J594" s="47" t="s">
        <v>517</v>
      </c>
      <c r="K594" s="32">
        <v>0</v>
      </c>
      <c r="L594" s="32">
        <v>1</v>
      </c>
      <c r="M594" s="31">
        <v>-0.50000000052480864</v>
      </c>
      <c r="N594" s="31">
        <v>0</v>
      </c>
      <c r="O594" s="31">
        <v>0</v>
      </c>
      <c r="P594" s="31">
        <v>0</v>
      </c>
      <c r="Q594" s="31">
        <v>0</v>
      </c>
      <c r="R594" s="31">
        <v>0</v>
      </c>
      <c r="S594" s="31">
        <v>0</v>
      </c>
      <c r="T594" s="31" t="s">
        <v>46</v>
      </c>
      <c r="U594" s="31" t="s">
        <v>46</v>
      </c>
    </row>
    <row r="595" spans="1:21" x14ac:dyDescent="0.2">
      <c r="A595" s="31">
        <v>1.1263175790547433</v>
      </c>
      <c r="B595" s="46" t="s">
        <v>518</v>
      </c>
      <c r="C595" s="32">
        <v>0</v>
      </c>
      <c r="D595" s="32">
        <v>1</v>
      </c>
      <c r="E595" s="31">
        <v>0.50000000052480864</v>
      </c>
      <c r="F595" s="31">
        <v>0</v>
      </c>
      <c r="G595" s="31">
        <v>0</v>
      </c>
      <c r="H595" s="31">
        <v>0</v>
      </c>
      <c r="I595" s="48">
        <v>0</v>
      </c>
      <c r="J595" s="47" t="s">
        <v>519</v>
      </c>
      <c r="K595" s="32">
        <v>0</v>
      </c>
      <c r="L595" s="32">
        <v>1</v>
      </c>
      <c r="M595" s="31">
        <v>-0.50000000052480864</v>
      </c>
      <c r="N595" s="31">
        <v>0</v>
      </c>
      <c r="O595" s="31">
        <v>0</v>
      </c>
      <c r="P595" s="31">
        <v>0</v>
      </c>
      <c r="Q595" s="31">
        <v>0</v>
      </c>
      <c r="R595" s="31">
        <v>0</v>
      </c>
      <c r="S595" s="31">
        <v>0</v>
      </c>
      <c r="T595" s="31" t="s">
        <v>46</v>
      </c>
      <c r="U595" s="31" t="s">
        <v>46</v>
      </c>
    </row>
    <row r="596" spans="1:21" x14ac:dyDescent="0.2">
      <c r="A596" s="31">
        <v>1.1334013374135781</v>
      </c>
      <c r="B596" s="46" t="s">
        <v>520</v>
      </c>
      <c r="C596" s="32">
        <v>0</v>
      </c>
      <c r="D596" s="32">
        <v>1</v>
      </c>
      <c r="E596" s="31">
        <v>0.50000000052480864</v>
      </c>
      <c r="F596" s="31">
        <v>0</v>
      </c>
      <c r="G596" s="31">
        <v>0</v>
      </c>
      <c r="H596" s="31">
        <v>0</v>
      </c>
      <c r="I596" s="48">
        <v>0</v>
      </c>
      <c r="J596" s="47" t="s">
        <v>521</v>
      </c>
      <c r="K596" s="32">
        <v>0</v>
      </c>
      <c r="L596" s="32">
        <v>1</v>
      </c>
      <c r="M596" s="31">
        <v>-0.50000000052480864</v>
      </c>
      <c r="N596" s="31">
        <v>0</v>
      </c>
      <c r="O596" s="31">
        <v>0</v>
      </c>
      <c r="P596" s="31">
        <v>0</v>
      </c>
      <c r="Q596" s="31">
        <v>0</v>
      </c>
      <c r="R596" s="31">
        <v>0</v>
      </c>
      <c r="S596" s="31">
        <v>0</v>
      </c>
      <c r="T596" s="31" t="s">
        <v>46</v>
      </c>
      <c r="U596" s="31" t="s">
        <v>46</v>
      </c>
    </row>
    <row r="597" spans="1:21" x14ac:dyDescent="0.2">
      <c r="A597" s="31">
        <v>1.1404850957724129</v>
      </c>
      <c r="B597" s="46" t="s">
        <v>522</v>
      </c>
      <c r="C597" s="32">
        <v>0</v>
      </c>
      <c r="D597" s="32">
        <v>1</v>
      </c>
      <c r="E597" s="31">
        <v>0.50000000052480864</v>
      </c>
      <c r="F597" s="31">
        <v>0</v>
      </c>
      <c r="G597" s="31">
        <v>0</v>
      </c>
      <c r="H597" s="31">
        <v>0</v>
      </c>
      <c r="I597" s="48">
        <v>0</v>
      </c>
      <c r="J597" s="47" t="s">
        <v>523</v>
      </c>
      <c r="K597" s="32">
        <v>3.0000499999999999</v>
      </c>
      <c r="L597" s="32">
        <v>1</v>
      </c>
      <c r="M597" s="31">
        <v>-0.50000000052480864</v>
      </c>
      <c r="N597" s="31">
        <v>0</v>
      </c>
      <c r="O597" s="31">
        <v>0</v>
      </c>
      <c r="P597" s="31">
        <v>0</v>
      </c>
      <c r="Q597" s="31">
        <v>0</v>
      </c>
      <c r="R597" s="31">
        <v>0</v>
      </c>
      <c r="S597" s="31">
        <v>0</v>
      </c>
      <c r="T597" s="31" t="s">
        <v>46</v>
      </c>
      <c r="U597" s="31" t="s">
        <v>47</v>
      </c>
    </row>
    <row r="598" spans="1:21" x14ac:dyDescent="0.2">
      <c r="A598" s="31">
        <v>1.1475688541312479</v>
      </c>
      <c r="B598" s="46" t="s">
        <v>524</v>
      </c>
      <c r="C598" s="32">
        <v>0</v>
      </c>
      <c r="D598" s="32">
        <v>1</v>
      </c>
      <c r="E598" s="31">
        <v>0.50000000052480864</v>
      </c>
      <c r="F598" s="31">
        <v>0</v>
      </c>
      <c r="G598" s="31">
        <v>0</v>
      </c>
      <c r="H598" s="31">
        <v>0</v>
      </c>
      <c r="I598" s="48">
        <v>0</v>
      </c>
      <c r="J598" s="47" t="s">
        <v>525</v>
      </c>
      <c r="K598" s="32">
        <v>3.0000499999999999</v>
      </c>
      <c r="L598" s="32">
        <v>1</v>
      </c>
      <c r="M598" s="31">
        <v>-0.50000000052480864</v>
      </c>
      <c r="N598" s="31">
        <v>0</v>
      </c>
      <c r="O598" s="31">
        <v>0</v>
      </c>
      <c r="P598" s="31">
        <v>0</v>
      </c>
      <c r="Q598" s="31">
        <v>0</v>
      </c>
      <c r="R598" s="31">
        <v>0</v>
      </c>
      <c r="S598" s="31">
        <v>0</v>
      </c>
      <c r="T598" s="31" t="s">
        <v>46</v>
      </c>
      <c r="U598" s="31" t="s">
        <v>47</v>
      </c>
    </row>
    <row r="599" spans="1:21" x14ac:dyDescent="0.2">
      <c r="A599" s="31">
        <v>1.1546526124900827</v>
      </c>
      <c r="B599" s="46" t="s">
        <v>526</v>
      </c>
      <c r="C599" s="32">
        <v>0</v>
      </c>
      <c r="D599" s="32">
        <v>1</v>
      </c>
      <c r="E599" s="31">
        <v>0.50000000052480864</v>
      </c>
      <c r="F599" s="31">
        <v>0</v>
      </c>
      <c r="G599" s="31">
        <v>0</v>
      </c>
      <c r="H599" s="31">
        <v>0</v>
      </c>
      <c r="I599" s="48">
        <v>0</v>
      </c>
      <c r="J599" s="47" t="s">
        <v>527</v>
      </c>
      <c r="K599" s="32">
        <v>3.0000499999999999</v>
      </c>
      <c r="L599" s="32">
        <v>1</v>
      </c>
      <c r="M599" s="31">
        <v>-0.50000000052480864</v>
      </c>
      <c r="N599" s="31">
        <v>0</v>
      </c>
      <c r="O599" s="31">
        <v>0</v>
      </c>
      <c r="P599" s="31">
        <v>0</v>
      </c>
      <c r="Q599" s="31">
        <v>0</v>
      </c>
      <c r="R599" s="31">
        <v>0</v>
      </c>
      <c r="S599" s="31">
        <v>0</v>
      </c>
      <c r="T599" s="31" t="s">
        <v>46</v>
      </c>
      <c r="U599" s="31" t="s">
        <v>47</v>
      </c>
    </row>
    <row r="600" spans="1:21" x14ac:dyDescent="0.2">
      <c r="A600" s="31">
        <v>1.1617363708489175</v>
      </c>
      <c r="B600" s="46" t="s">
        <v>528</v>
      </c>
      <c r="C600" s="32">
        <v>0</v>
      </c>
      <c r="D600" s="32">
        <v>1</v>
      </c>
      <c r="E600" s="31">
        <v>0.50000000052480864</v>
      </c>
      <c r="F600" s="31">
        <v>0</v>
      </c>
      <c r="G600" s="31">
        <v>0</v>
      </c>
      <c r="H600" s="31">
        <v>0</v>
      </c>
      <c r="I600" s="48">
        <v>0</v>
      </c>
      <c r="J600" s="47" t="s">
        <v>529</v>
      </c>
      <c r="K600" s="32">
        <v>3.0000499999999999</v>
      </c>
      <c r="L600" s="32">
        <v>1</v>
      </c>
      <c r="M600" s="31">
        <v>-0.50000000052480864</v>
      </c>
      <c r="N600" s="31">
        <v>0</v>
      </c>
      <c r="O600" s="31">
        <v>0</v>
      </c>
      <c r="P600" s="31">
        <v>0</v>
      </c>
      <c r="Q600" s="31">
        <v>0</v>
      </c>
      <c r="R600" s="31">
        <v>0</v>
      </c>
      <c r="S600" s="31">
        <v>0</v>
      </c>
      <c r="T600" s="31" t="s">
        <v>46</v>
      </c>
      <c r="U600" s="31" t="s">
        <v>47</v>
      </c>
    </row>
    <row r="601" spans="1:21" x14ac:dyDescent="0.2">
      <c r="A601" s="31">
        <v>1.1688201292077525</v>
      </c>
      <c r="B601" s="46" t="s">
        <v>530</v>
      </c>
      <c r="C601" s="32">
        <v>0</v>
      </c>
      <c r="D601" s="32">
        <v>1</v>
      </c>
      <c r="E601" s="31">
        <v>0.50000000052480864</v>
      </c>
      <c r="F601" s="31">
        <v>0</v>
      </c>
      <c r="G601" s="31">
        <v>0</v>
      </c>
      <c r="H601" s="31">
        <v>0</v>
      </c>
      <c r="I601" s="48">
        <v>0</v>
      </c>
      <c r="J601" s="47" t="s">
        <v>531</v>
      </c>
      <c r="K601" s="32">
        <v>3.0000499999999999</v>
      </c>
      <c r="L601" s="32">
        <v>1</v>
      </c>
      <c r="M601" s="31">
        <v>-0.50000000052480864</v>
      </c>
      <c r="N601" s="31">
        <v>0</v>
      </c>
      <c r="O601" s="31">
        <v>0</v>
      </c>
      <c r="P601" s="31">
        <v>0</v>
      </c>
      <c r="Q601" s="31">
        <v>0</v>
      </c>
      <c r="R601" s="31">
        <v>0</v>
      </c>
      <c r="S601" s="31">
        <v>0</v>
      </c>
      <c r="T601" s="31" t="s">
        <v>46</v>
      </c>
      <c r="U601" s="31" t="s">
        <v>47</v>
      </c>
    </row>
    <row r="602" spans="1:21" x14ac:dyDescent="0.2">
      <c r="A602" s="31">
        <v>1.182987645925422</v>
      </c>
      <c r="B602" s="46" t="s">
        <v>532</v>
      </c>
      <c r="C602" s="32">
        <v>0</v>
      </c>
      <c r="D602" s="32">
        <v>1</v>
      </c>
      <c r="E602" s="31">
        <v>0.50000000052480864</v>
      </c>
      <c r="F602" s="31">
        <v>0</v>
      </c>
      <c r="G602" s="31">
        <v>0</v>
      </c>
      <c r="H602" s="31">
        <v>0</v>
      </c>
      <c r="I602" s="48">
        <v>0</v>
      </c>
      <c r="J602" s="47" t="s">
        <v>533</v>
      </c>
      <c r="K602" s="32">
        <v>3.0000499999999999</v>
      </c>
      <c r="L602" s="32">
        <v>1</v>
      </c>
      <c r="M602" s="31">
        <v>-0.50000000052480864</v>
      </c>
      <c r="N602" s="31">
        <v>0</v>
      </c>
      <c r="O602" s="31">
        <v>0</v>
      </c>
      <c r="P602" s="31">
        <v>0</v>
      </c>
      <c r="Q602" s="31">
        <v>0</v>
      </c>
      <c r="R602" s="31">
        <v>0</v>
      </c>
      <c r="S602" s="31">
        <v>0</v>
      </c>
      <c r="T602" s="31" t="s">
        <v>46</v>
      </c>
      <c r="U602" s="31" t="s">
        <v>47</v>
      </c>
    </row>
    <row r="603" spans="1:21" x14ac:dyDescent="0.2">
      <c r="A603" s="31">
        <v>1.1900714042842571</v>
      </c>
      <c r="B603" s="46" t="s">
        <v>534</v>
      </c>
      <c r="C603" s="32">
        <v>0</v>
      </c>
      <c r="D603" s="32">
        <v>1</v>
      </c>
      <c r="E603" s="31">
        <v>0.50000000052480864</v>
      </c>
      <c r="F603" s="31">
        <v>0</v>
      </c>
      <c r="G603" s="31">
        <v>0</v>
      </c>
      <c r="H603" s="31">
        <v>0</v>
      </c>
      <c r="I603" s="48">
        <v>0</v>
      </c>
      <c r="J603" s="47" t="s">
        <v>535</v>
      </c>
      <c r="K603" s="32">
        <v>3.0000499999999999</v>
      </c>
      <c r="L603" s="32">
        <v>1</v>
      </c>
      <c r="M603" s="31">
        <v>-0.50000000052480864</v>
      </c>
      <c r="N603" s="31">
        <v>0</v>
      </c>
      <c r="O603" s="31">
        <v>0</v>
      </c>
      <c r="P603" s="31">
        <v>0</v>
      </c>
      <c r="Q603" s="31">
        <v>0</v>
      </c>
      <c r="R603" s="31">
        <v>0</v>
      </c>
      <c r="S603" s="31">
        <v>0</v>
      </c>
      <c r="T603" s="31" t="s">
        <v>46</v>
      </c>
      <c r="U603" s="31" t="s">
        <v>47</v>
      </c>
    </row>
    <row r="604" spans="1:21" x14ac:dyDescent="0.2">
      <c r="A604" s="31">
        <v>1.1971551626430919</v>
      </c>
      <c r="B604" s="46" t="s">
        <v>536</v>
      </c>
      <c r="C604" s="32">
        <v>0</v>
      </c>
      <c r="D604" s="32">
        <v>1</v>
      </c>
      <c r="E604" s="31">
        <v>0.50000000052480864</v>
      </c>
      <c r="F604" s="31">
        <v>0</v>
      </c>
      <c r="G604" s="31">
        <v>0</v>
      </c>
      <c r="H604" s="31">
        <v>0</v>
      </c>
      <c r="I604" s="48">
        <v>0</v>
      </c>
      <c r="J604" s="47" t="s">
        <v>537</v>
      </c>
      <c r="K604" s="32">
        <v>0</v>
      </c>
      <c r="L604" s="32">
        <v>1</v>
      </c>
      <c r="M604" s="31">
        <v>-0.50000000052480864</v>
      </c>
      <c r="N604" s="31">
        <v>0</v>
      </c>
      <c r="O604" s="31">
        <v>0</v>
      </c>
      <c r="P604" s="31">
        <v>0</v>
      </c>
      <c r="Q604" s="31">
        <v>0</v>
      </c>
      <c r="R604" s="31">
        <v>0</v>
      </c>
      <c r="S604" s="31">
        <v>0</v>
      </c>
      <c r="T604" s="31" t="s">
        <v>46</v>
      </c>
      <c r="U604" s="31" t="s">
        <v>46</v>
      </c>
    </row>
    <row r="605" spans="1:21" x14ac:dyDescent="0.2">
      <c r="A605" s="31">
        <v>1.2042389210019266</v>
      </c>
      <c r="B605" s="46" t="s">
        <v>538</v>
      </c>
      <c r="C605" s="32">
        <v>0</v>
      </c>
      <c r="D605" s="32">
        <v>1</v>
      </c>
      <c r="E605" s="31">
        <v>0.50000000052480864</v>
      </c>
      <c r="F605" s="31">
        <v>0</v>
      </c>
      <c r="G605" s="31">
        <v>0</v>
      </c>
      <c r="H605" s="31">
        <v>0</v>
      </c>
      <c r="I605" s="48">
        <v>0</v>
      </c>
      <c r="J605" s="47" t="s">
        <v>539</v>
      </c>
      <c r="K605" s="32">
        <v>0</v>
      </c>
      <c r="L605" s="32">
        <v>1</v>
      </c>
      <c r="M605" s="31">
        <v>-0.50000000052480864</v>
      </c>
      <c r="N605" s="31">
        <v>0</v>
      </c>
      <c r="O605" s="31">
        <v>0</v>
      </c>
      <c r="P605" s="31">
        <v>0</v>
      </c>
      <c r="Q605" s="31">
        <v>0</v>
      </c>
      <c r="R605" s="31">
        <v>0</v>
      </c>
      <c r="S605" s="31">
        <v>0</v>
      </c>
      <c r="T605" s="31" t="s">
        <v>46</v>
      </c>
      <c r="U605" s="31" t="s">
        <v>46</v>
      </c>
    </row>
    <row r="606" spans="1:21" x14ac:dyDescent="0.2">
      <c r="A606" s="31">
        <v>1.2113226793607617</v>
      </c>
      <c r="B606" s="46" t="s">
        <v>540</v>
      </c>
      <c r="C606" s="32">
        <v>0</v>
      </c>
      <c r="D606" s="32">
        <v>1</v>
      </c>
      <c r="E606" s="31">
        <v>0.50000000052480864</v>
      </c>
      <c r="F606" s="31">
        <v>0</v>
      </c>
      <c r="G606" s="31">
        <v>0</v>
      </c>
      <c r="H606" s="31">
        <v>0</v>
      </c>
      <c r="I606" s="48">
        <v>0</v>
      </c>
      <c r="J606" s="47" t="s">
        <v>541</v>
      </c>
      <c r="K606" s="32">
        <v>3.0000499999999999</v>
      </c>
      <c r="L606" s="32">
        <v>1</v>
      </c>
      <c r="M606" s="31">
        <v>-0.50000000052480864</v>
      </c>
      <c r="N606" s="31">
        <v>0</v>
      </c>
      <c r="O606" s="31">
        <v>0</v>
      </c>
      <c r="P606" s="31">
        <v>0</v>
      </c>
      <c r="Q606" s="31">
        <v>0</v>
      </c>
      <c r="R606" s="31">
        <v>0</v>
      </c>
      <c r="S606" s="31">
        <v>0</v>
      </c>
      <c r="T606" s="31" t="s">
        <v>46</v>
      </c>
      <c r="U606" s="31" t="s">
        <v>47</v>
      </c>
    </row>
    <row r="607" spans="1:21" x14ac:dyDescent="0.2">
      <c r="A607" s="31">
        <v>1.2184064377195964</v>
      </c>
      <c r="B607" s="46" t="s">
        <v>542</v>
      </c>
      <c r="C607" s="32">
        <v>0</v>
      </c>
      <c r="D607" s="32">
        <v>1</v>
      </c>
      <c r="E607" s="31">
        <v>0.50000000052480864</v>
      </c>
      <c r="F607" s="31">
        <v>0</v>
      </c>
      <c r="G607" s="31">
        <v>0</v>
      </c>
      <c r="H607" s="31">
        <v>0</v>
      </c>
      <c r="I607" s="48">
        <v>0</v>
      </c>
      <c r="J607" s="47" t="s">
        <v>543</v>
      </c>
      <c r="K607" s="32">
        <v>3.0000499999999999</v>
      </c>
      <c r="L607" s="32">
        <v>1</v>
      </c>
      <c r="M607" s="31">
        <v>-0.50000000052480864</v>
      </c>
      <c r="N607" s="31">
        <v>0</v>
      </c>
      <c r="O607" s="31">
        <v>0</v>
      </c>
      <c r="P607" s="31">
        <v>0</v>
      </c>
      <c r="Q607" s="31">
        <v>0</v>
      </c>
      <c r="R607" s="31">
        <v>0</v>
      </c>
      <c r="S607" s="31">
        <v>0</v>
      </c>
      <c r="T607" s="31" t="s">
        <v>46</v>
      </c>
      <c r="U607" s="31" t="s">
        <v>47</v>
      </c>
    </row>
    <row r="608" spans="1:21" x14ac:dyDescent="0.2">
      <c r="A608" s="31">
        <v>1.2467414711549358</v>
      </c>
      <c r="B608" s="46" t="s">
        <v>544</v>
      </c>
      <c r="C608" s="32">
        <v>0</v>
      </c>
      <c r="D608" s="32">
        <v>1</v>
      </c>
      <c r="E608" s="31">
        <v>0.50000000052480864</v>
      </c>
      <c r="F608" s="31">
        <v>0</v>
      </c>
      <c r="G608" s="31">
        <v>0</v>
      </c>
      <c r="H608" s="31">
        <v>0</v>
      </c>
      <c r="I608" s="48">
        <v>0</v>
      </c>
      <c r="J608" s="47" t="s">
        <v>545</v>
      </c>
      <c r="K608" s="32">
        <v>3.0000499999999999</v>
      </c>
      <c r="L608" s="32">
        <v>1</v>
      </c>
      <c r="M608" s="31">
        <v>-0.50000000052480864</v>
      </c>
      <c r="N608" s="31">
        <v>0</v>
      </c>
      <c r="O608" s="31">
        <v>0</v>
      </c>
      <c r="P608" s="31">
        <v>0</v>
      </c>
      <c r="Q608" s="31">
        <v>0</v>
      </c>
      <c r="R608" s="31">
        <v>0</v>
      </c>
      <c r="S608" s="31">
        <v>0</v>
      </c>
      <c r="T608" s="31" t="s">
        <v>46</v>
      </c>
      <c r="U608" s="31" t="s">
        <v>47</v>
      </c>
    </row>
    <row r="609" spans="1:21" x14ac:dyDescent="0.2">
      <c r="A609" s="31">
        <v>1.2750765045902754</v>
      </c>
      <c r="B609" s="46" t="s">
        <v>546</v>
      </c>
      <c r="C609" s="32">
        <v>3.0000499999999999</v>
      </c>
      <c r="D609" s="32">
        <v>1</v>
      </c>
      <c r="E609" s="31">
        <v>0.50000000052480864</v>
      </c>
      <c r="F609" s="31">
        <v>0</v>
      </c>
      <c r="G609" s="31">
        <v>0</v>
      </c>
      <c r="H609" s="31">
        <v>0</v>
      </c>
      <c r="I609" s="48">
        <v>0</v>
      </c>
      <c r="J609" s="47" t="s">
        <v>547</v>
      </c>
      <c r="K609" s="32">
        <v>3.0000499999999999</v>
      </c>
      <c r="L609" s="32">
        <v>1</v>
      </c>
      <c r="M609" s="31">
        <v>-0.50000000052480864</v>
      </c>
      <c r="N609" s="31">
        <v>0</v>
      </c>
      <c r="O609" s="31">
        <v>0</v>
      </c>
      <c r="P609" s="31">
        <v>0</v>
      </c>
      <c r="Q609" s="31">
        <v>0</v>
      </c>
      <c r="R609" s="31">
        <v>0</v>
      </c>
      <c r="S609" s="31">
        <v>0</v>
      </c>
      <c r="T609" s="31" t="s">
        <v>46</v>
      </c>
      <c r="U609" s="31" t="s">
        <v>47</v>
      </c>
    </row>
    <row r="610" spans="1:21" x14ac:dyDescent="0.2">
      <c r="A610" s="31">
        <v>1.289244021307945</v>
      </c>
      <c r="B610" s="46" t="s">
        <v>548</v>
      </c>
      <c r="C610" s="32">
        <v>3.0000499999999999</v>
      </c>
      <c r="D610" s="32">
        <v>1</v>
      </c>
      <c r="E610" s="31">
        <v>0.50000000052480864</v>
      </c>
      <c r="F610" s="31">
        <v>0</v>
      </c>
      <c r="G610" s="31">
        <v>0</v>
      </c>
      <c r="H610" s="31">
        <v>0</v>
      </c>
      <c r="I610" s="48">
        <v>0</v>
      </c>
      <c r="J610" s="47" t="s">
        <v>549</v>
      </c>
      <c r="K610" s="32">
        <v>3.0000499999999999</v>
      </c>
      <c r="L610" s="32">
        <v>1</v>
      </c>
      <c r="M610" s="31">
        <v>-0.50000000052480864</v>
      </c>
      <c r="N610" s="31">
        <v>0</v>
      </c>
      <c r="O610" s="31">
        <v>0</v>
      </c>
      <c r="P610" s="31">
        <v>0</v>
      </c>
      <c r="Q610" s="31">
        <v>0</v>
      </c>
      <c r="R610" s="31">
        <v>0</v>
      </c>
      <c r="S610" s="31">
        <v>0</v>
      </c>
      <c r="T610" s="31" t="s">
        <v>46</v>
      </c>
      <c r="U610" s="31" t="s">
        <v>47</v>
      </c>
    </row>
    <row r="611" spans="1:21" x14ac:dyDescent="0.2">
      <c r="A611" s="31">
        <v>0.55253315198911934</v>
      </c>
      <c r="B611" s="46" t="s">
        <v>550</v>
      </c>
      <c r="C611" s="32">
        <v>0</v>
      </c>
      <c r="D611" s="32">
        <v>1</v>
      </c>
      <c r="E611" s="31">
        <v>0.50000000052480864</v>
      </c>
      <c r="F611" s="31">
        <v>0</v>
      </c>
      <c r="G611" s="31">
        <v>0</v>
      </c>
      <c r="H611" s="31">
        <v>0</v>
      </c>
      <c r="I611" s="48">
        <v>0</v>
      </c>
      <c r="J611" s="47" t="s">
        <v>551</v>
      </c>
      <c r="K611" s="32">
        <v>3.0000499999999999</v>
      </c>
      <c r="L611" s="32">
        <v>1</v>
      </c>
      <c r="M611" s="31">
        <v>-0.50000000052480864</v>
      </c>
      <c r="N611" s="31">
        <v>0</v>
      </c>
      <c r="O611" s="31">
        <v>0</v>
      </c>
      <c r="P611" s="31">
        <v>0</v>
      </c>
      <c r="Q611" s="31">
        <v>0</v>
      </c>
      <c r="R611" s="31">
        <v>0</v>
      </c>
      <c r="S611" s="31">
        <v>0</v>
      </c>
      <c r="T611" s="31" t="s">
        <v>46</v>
      </c>
      <c r="U611" s="31" t="s">
        <v>46</v>
      </c>
    </row>
    <row r="612" spans="1:21" x14ac:dyDescent="0.2">
      <c r="A612" s="31">
        <v>0.56670066870678903</v>
      </c>
      <c r="B612" s="46" t="s">
        <v>552</v>
      </c>
      <c r="C612" s="32">
        <v>0</v>
      </c>
      <c r="D612" s="32">
        <v>1</v>
      </c>
      <c r="E612" s="31">
        <v>0.50000000052480864</v>
      </c>
      <c r="F612" s="31">
        <v>0</v>
      </c>
      <c r="G612" s="31">
        <v>0</v>
      </c>
      <c r="H612" s="31">
        <v>0</v>
      </c>
      <c r="I612" s="48">
        <v>0</v>
      </c>
      <c r="J612" s="47" t="s">
        <v>553</v>
      </c>
      <c r="K612" s="32">
        <v>0</v>
      </c>
      <c r="L612" s="32">
        <v>1</v>
      </c>
      <c r="M612" s="31">
        <v>-0.50000000052480864</v>
      </c>
      <c r="N612" s="31">
        <v>0</v>
      </c>
      <c r="O612" s="31">
        <v>0</v>
      </c>
      <c r="P612" s="31">
        <v>0</v>
      </c>
      <c r="Q612" s="31">
        <v>0</v>
      </c>
      <c r="R612" s="31">
        <v>0</v>
      </c>
      <c r="S612" s="31">
        <v>0</v>
      </c>
      <c r="T612" s="31" t="s">
        <v>46</v>
      </c>
      <c r="U612" s="31" t="s">
        <v>46</v>
      </c>
    </row>
    <row r="613" spans="1:21" x14ac:dyDescent="0.2">
      <c r="A613" s="31">
        <v>0.58086818542445873</v>
      </c>
      <c r="B613" s="46" t="s">
        <v>554</v>
      </c>
      <c r="C613" s="32">
        <v>0</v>
      </c>
      <c r="D613" s="32">
        <v>1</v>
      </c>
      <c r="E613" s="31">
        <v>0.50000000052480864</v>
      </c>
      <c r="F613" s="31">
        <v>0</v>
      </c>
      <c r="G613" s="31">
        <v>0</v>
      </c>
      <c r="H613" s="31">
        <v>0</v>
      </c>
      <c r="I613" s="48">
        <v>0</v>
      </c>
      <c r="J613" s="47" t="s">
        <v>555</v>
      </c>
      <c r="K613" s="32">
        <v>0</v>
      </c>
      <c r="L613" s="32">
        <v>1</v>
      </c>
      <c r="M613" s="31">
        <v>-0.50000000052480864</v>
      </c>
      <c r="N613" s="31">
        <v>0</v>
      </c>
      <c r="O613" s="31">
        <v>0</v>
      </c>
      <c r="P613" s="31">
        <v>0</v>
      </c>
      <c r="Q613" s="31">
        <v>0</v>
      </c>
      <c r="R613" s="31">
        <v>0</v>
      </c>
      <c r="S613" s="31">
        <v>0</v>
      </c>
      <c r="T613" s="31" t="s">
        <v>46</v>
      </c>
      <c r="U613" s="31" t="s">
        <v>46</v>
      </c>
    </row>
    <row r="614" spans="1:21" x14ac:dyDescent="0.2">
      <c r="A614" s="31">
        <v>0.59503570214212853</v>
      </c>
      <c r="B614" s="46" t="s">
        <v>556</v>
      </c>
      <c r="C614" s="32">
        <v>0</v>
      </c>
      <c r="D614" s="32">
        <v>1</v>
      </c>
      <c r="E614" s="31">
        <v>0.50000000052480864</v>
      </c>
      <c r="F614" s="31">
        <v>0</v>
      </c>
      <c r="G614" s="31">
        <v>0</v>
      </c>
      <c r="H614" s="31">
        <v>0</v>
      </c>
      <c r="I614" s="48">
        <v>0</v>
      </c>
      <c r="J614" s="47" t="s">
        <v>557</v>
      </c>
      <c r="K614" s="32">
        <v>0</v>
      </c>
      <c r="L614" s="32">
        <v>1</v>
      </c>
      <c r="M614" s="31">
        <v>-0.50000000052480864</v>
      </c>
      <c r="N614" s="31">
        <v>0</v>
      </c>
      <c r="O614" s="31">
        <v>0</v>
      </c>
      <c r="P614" s="31">
        <v>0</v>
      </c>
      <c r="Q614" s="31">
        <v>0</v>
      </c>
      <c r="R614" s="31">
        <v>0</v>
      </c>
      <c r="S614" s="31">
        <v>0</v>
      </c>
      <c r="T614" s="31" t="s">
        <v>46</v>
      </c>
      <c r="U614" s="31" t="s">
        <v>46</v>
      </c>
    </row>
    <row r="615" spans="1:21" x14ac:dyDescent="0.2">
      <c r="A615" s="31">
        <v>0.60920321885979822</v>
      </c>
      <c r="B615" s="46" t="s">
        <v>558</v>
      </c>
      <c r="C615" s="32">
        <v>0</v>
      </c>
      <c r="D615" s="32">
        <v>1</v>
      </c>
      <c r="E615" s="31">
        <v>0.50000000052480864</v>
      </c>
      <c r="F615" s="31">
        <v>0</v>
      </c>
      <c r="G615" s="31">
        <v>0</v>
      </c>
      <c r="H615" s="31">
        <v>0</v>
      </c>
      <c r="I615" s="48">
        <v>0</v>
      </c>
      <c r="J615" s="47" t="s">
        <v>559</v>
      </c>
      <c r="K615" s="32">
        <v>0</v>
      </c>
      <c r="L615" s="32">
        <v>1</v>
      </c>
      <c r="M615" s="31">
        <v>-0.50000000052480864</v>
      </c>
      <c r="N615" s="31">
        <v>0</v>
      </c>
      <c r="O615" s="31">
        <v>0</v>
      </c>
      <c r="P615" s="31">
        <v>0</v>
      </c>
      <c r="Q615" s="31">
        <v>0</v>
      </c>
      <c r="R615" s="31">
        <v>0</v>
      </c>
      <c r="S615" s="31">
        <v>0</v>
      </c>
      <c r="T615" s="31" t="s">
        <v>46</v>
      </c>
      <c r="U615" s="31" t="s">
        <v>46</v>
      </c>
    </row>
    <row r="616" spans="1:21" x14ac:dyDescent="0.2">
      <c r="A616" s="31">
        <v>0.62337073557746792</v>
      </c>
      <c r="B616" s="46" t="s">
        <v>560</v>
      </c>
      <c r="C616" s="32">
        <v>0</v>
      </c>
      <c r="D616" s="32">
        <v>1</v>
      </c>
      <c r="E616" s="31">
        <v>0.50000000052480864</v>
      </c>
      <c r="F616" s="31">
        <v>0</v>
      </c>
      <c r="G616" s="31">
        <v>0</v>
      </c>
      <c r="H616" s="31">
        <v>0</v>
      </c>
      <c r="I616" s="48">
        <v>0</v>
      </c>
      <c r="J616" s="47" t="s">
        <v>561</v>
      </c>
      <c r="K616" s="32">
        <v>3.0000499999999999</v>
      </c>
      <c r="L616" s="32">
        <v>1</v>
      </c>
      <c r="M616" s="31">
        <v>-0.50000000052480864</v>
      </c>
      <c r="N616" s="31">
        <v>0</v>
      </c>
      <c r="O616" s="31">
        <v>0</v>
      </c>
      <c r="P616" s="31">
        <v>0</v>
      </c>
      <c r="Q616" s="31">
        <v>0</v>
      </c>
      <c r="R616" s="31">
        <v>0</v>
      </c>
      <c r="S616" s="31">
        <v>0</v>
      </c>
      <c r="T616" s="31" t="s">
        <v>46</v>
      </c>
      <c r="U616" s="31" t="s">
        <v>46</v>
      </c>
    </row>
    <row r="617" spans="1:21" x14ac:dyDescent="0.2">
      <c r="A617" s="31">
        <v>0.63753825229513772</v>
      </c>
      <c r="B617" s="46" t="s">
        <v>562</v>
      </c>
      <c r="C617" s="32">
        <v>0</v>
      </c>
      <c r="D617" s="32">
        <v>1</v>
      </c>
      <c r="E617" s="31">
        <v>0.50000000052480864</v>
      </c>
      <c r="F617" s="31">
        <v>0</v>
      </c>
      <c r="G617" s="31">
        <v>0</v>
      </c>
      <c r="H617" s="31">
        <v>0</v>
      </c>
      <c r="I617" s="48">
        <v>0</v>
      </c>
      <c r="J617" s="47" t="s">
        <v>563</v>
      </c>
      <c r="K617" s="32">
        <v>0</v>
      </c>
      <c r="L617" s="32">
        <v>1</v>
      </c>
      <c r="M617" s="31">
        <v>-0.50000000052480864</v>
      </c>
      <c r="N617" s="31">
        <v>0</v>
      </c>
      <c r="O617" s="31">
        <v>0</v>
      </c>
      <c r="P617" s="31">
        <v>0</v>
      </c>
      <c r="Q617" s="31">
        <v>0</v>
      </c>
      <c r="R617" s="31">
        <v>0</v>
      </c>
      <c r="S617" s="31">
        <v>0</v>
      </c>
      <c r="T617" s="31" t="s">
        <v>46</v>
      </c>
      <c r="U617" s="31" t="s">
        <v>46</v>
      </c>
    </row>
    <row r="618" spans="1:21" x14ac:dyDescent="0.2">
      <c r="A618" s="31">
        <v>0.65170576901280741</v>
      </c>
      <c r="B618" s="46" t="s">
        <v>564</v>
      </c>
      <c r="C618" s="32">
        <v>0</v>
      </c>
      <c r="D618" s="32">
        <v>1</v>
      </c>
      <c r="E618" s="31">
        <v>0.50000000052480864</v>
      </c>
      <c r="F618" s="31">
        <v>0</v>
      </c>
      <c r="G618" s="31">
        <v>0</v>
      </c>
      <c r="H618" s="31">
        <v>0</v>
      </c>
      <c r="I618" s="48">
        <v>0</v>
      </c>
      <c r="J618" s="47" t="s">
        <v>565</v>
      </c>
      <c r="K618" s="32">
        <v>0</v>
      </c>
      <c r="L618" s="32">
        <v>1</v>
      </c>
      <c r="M618" s="31">
        <v>-0.50000000052480864</v>
      </c>
      <c r="N618" s="31">
        <v>0</v>
      </c>
      <c r="O618" s="31">
        <v>0</v>
      </c>
      <c r="P618" s="31">
        <v>0</v>
      </c>
      <c r="Q618" s="31">
        <v>0</v>
      </c>
      <c r="R618" s="31">
        <v>0</v>
      </c>
      <c r="S618" s="31">
        <v>0</v>
      </c>
      <c r="T618" s="31" t="s">
        <v>46</v>
      </c>
      <c r="U618" s="31" t="s">
        <v>46</v>
      </c>
    </row>
    <row r="619" spans="1:21" x14ac:dyDescent="0.2">
      <c r="A619" s="31">
        <v>0.6658732857304771</v>
      </c>
      <c r="B619" s="46" t="s">
        <v>566</v>
      </c>
      <c r="C619" s="32">
        <v>0</v>
      </c>
      <c r="D619" s="32">
        <v>1</v>
      </c>
      <c r="E619" s="31">
        <v>0.50000000052480864</v>
      </c>
      <c r="F619" s="31">
        <v>0</v>
      </c>
      <c r="G619" s="31">
        <v>0</v>
      </c>
      <c r="H619" s="31">
        <v>0</v>
      </c>
      <c r="I619" s="48">
        <v>0</v>
      </c>
      <c r="J619" s="47" t="s">
        <v>567</v>
      </c>
      <c r="K619" s="32">
        <v>0</v>
      </c>
      <c r="L619" s="32">
        <v>1</v>
      </c>
      <c r="M619" s="31">
        <v>-0.50000000052480864</v>
      </c>
      <c r="N619" s="31">
        <v>0</v>
      </c>
      <c r="O619" s="31">
        <v>0</v>
      </c>
      <c r="P619" s="31">
        <v>0</v>
      </c>
      <c r="Q619" s="31">
        <v>0</v>
      </c>
      <c r="R619" s="31">
        <v>0</v>
      </c>
      <c r="S619" s="31">
        <v>0</v>
      </c>
      <c r="T619" s="31" t="s">
        <v>46</v>
      </c>
      <c r="U619" s="31" t="s">
        <v>46</v>
      </c>
    </row>
    <row r="620" spans="1:21" x14ac:dyDescent="0.2">
      <c r="A620" s="31">
        <v>0.68004080244814691</v>
      </c>
      <c r="B620" s="46" t="s">
        <v>568</v>
      </c>
      <c r="C620" s="32">
        <v>0</v>
      </c>
      <c r="D620" s="32">
        <v>1</v>
      </c>
      <c r="E620" s="31">
        <v>0.50000000052480864</v>
      </c>
      <c r="F620" s="31">
        <v>0</v>
      </c>
      <c r="G620" s="31">
        <v>0</v>
      </c>
      <c r="H620" s="31">
        <v>0</v>
      </c>
      <c r="I620" s="48">
        <v>0</v>
      </c>
      <c r="J620" s="47" t="s">
        <v>569</v>
      </c>
      <c r="K620" s="32">
        <v>0</v>
      </c>
      <c r="L620" s="32">
        <v>1</v>
      </c>
      <c r="M620" s="31">
        <v>-0.50000000052480864</v>
      </c>
      <c r="N620" s="31">
        <v>0</v>
      </c>
      <c r="O620" s="31">
        <v>0</v>
      </c>
      <c r="P620" s="31">
        <v>0</v>
      </c>
      <c r="Q620" s="31">
        <v>0</v>
      </c>
      <c r="R620" s="31">
        <v>0</v>
      </c>
      <c r="S620" s="31">
        <v>0</v>
      </c>
      <c r="T620" s="31" t="s">
        <v>46</v>
      </c>
      <c r="U620" s="31" t="s">
        <v>46</v>
      </c>
    </row>
    <row r="621" spans="1:21" x14ac:dyDescent="0.2">
      <c r="A621" s="31">
        <v>0.6942083191658166</v>
      </c>
      <c r="B621" s="46" t="s">
        <v>570</v>
      </c>
      <c r="C621" s="32">
        <v>0</v>
      </c>
      <c r="D621" s="32">
        <v>1</v>
      </c>
      <c r="E621" s="31">
        <v>0.50000000052480864</v>
      </c>
      <c r="F621" s="31">
        <v>0</v>
      </c>
      <c r="G621" s="31">
        <v>0</v>
      </c>
      <c r="H621" s="31">
        <v>0</v>
      </c>
      <c r="I621" s="48">
        <v>0</v>
      </c>
      <c r="J621" s="47" t="s">
        <v>571</v>
      </c>
      <c r="K621" s="32">
        <v>0</v>
      </c>
      <c r="L621" s="32">
        <v>1</v>
      </c>
      <c r="M621" s="31">
        <v>-0.50000000052480864</v>
      </c>
      <c r="N621" s="31">
        <v>0</v>
      </c>
      <c r="O621" s="31">
        <v>0</v>
      </c>
      <c r="P621" s="31">
        <v>0</v>
      </c>
      <c r="Q621" s="31">
        <v>0</v>
      </c>
      <c r="R621" s="31">
        <v>0</v>
      </c>
      <c r="S621" s="31">
        <v>0</v>
      </c>
      <c r="T621" s="31" t="s">
        <v>46</v>
      </c>
      <c r="U621" s="31" t="s">
        <v>46</v>
      </c>
    </row>
    <row r="622" spans="1:21" x14ac:dyDescent="0.2">
      <c r="A622" s="31">
        <v>0.70837583588348629</v>
      </c>
      <c r="B622" s="46" t="s">
        <v>572</v>
      </c>
      <c r="C622" s="32">
        <v>0</v>
      </c>
      <c r="D622" s="32">
        <v>1</v>
      </c>
      <c r="E622" s="31">
        <v>0.50000000052480864</v>
      </c>
      <c r="F622" s="31">
        <v>0</v>
      </c>
      <c r="G622" s="31">
        <v>0</v>
      </c>
      <c r="H622" s="31">
        <v>0</v>
      </c>
      <c r="I622" s="48">
        <v>0</v>
      </c>
      <c r="J622" s="47" t="s">
        <v>573</v>
      </c>
      <c r="K622" s="32">
        <v>0</v>
      </c>
      <c r="L622" s="32">
        <v>1</v>
      </c>
      <c r="M622" s="31">
        <v>-0.50000000052480864</v>
      </c>
      <c r="N622" s="31">
        <v>0</v>
      </c>
      <c r="O622" s="31">
        <v>0</v>
      </c>
      <c r="P622" s="31">
        <v>0</v>
      </c>
      <c r="Q622" s="31">
        <v>0</v>
      </c>
      <c r="R622" s="31">
        <v>0</v>
      </c>
      <c r="S622" s="31">
        <v>0</v>
      </c>
      <c r="T622" s="31" t="s">
        <v>46</v>
      </c>
      <c r="U622" s="31" t="s">
        <v>46</v>
      </c>
    </row>
    <row r="623" spans="1:21" x14ac:dyDescent="0.2">
      <c r="A623" s="31">
        <v>0.73671086931882579</v>
      </c>
      <c r="B623" s="46" t="s">
        <v>574</v>
      </c>
      <c r="C623" s="32">
        <v>0</v>
      </c>
      <c r="D623" s="32">
        <v>1</v>
      </c>
      <c r="E623" s="31">
        <v>0.50000000052480864</v>
      </c>
      <c r="F623" s="31">
        <v>0</v>
      </c>
      <c r="G623" s="31">
        <v>0</v>
      </c>
      <c r="H623" s="31">
        <v>0</v>
      </c>
      <c r="I623" s="48">
        <v>0</v>
      </c>
      <c r="J623" s="47" t="s">
        <v>575</v>
      </c>
      <c r="K623" s="32">
        <v>0</v>
      </c>
      <c r="L623" s="32">
        <v>1</v>
      </c>
      <c r="M623" s="31">
        <v>-0.50000000052480864</v>
      </c>
      <c r="N623" s="31">
        <v>0</v>
      </c>
      <c r="O623" s="31">
        <v>0</v>
      </c>
      <c r="P623" s="31">
        <v>0</v>
      </c>
      <c r="Q623" s="31">
        <v>0</v>
      </c>
      <c r="R623" s="31">
        <v>0</v>
      </c>
      <c r="S623" s="31">
        <v>0</v>
      </c>
      <c r="T623" s="31" t="s">
        <v>46</v>
      </c>
      <c r="U623" s="31" t="s">
        <v>46</v>
      </c>
    </row>
    <row r="624" spans="1:21" x14ac:dyDescent="0.2">
      <c r="A624" s="31">
        <v>0.76504590275416517</v>
      </c>
      <c r="B624" s="46" t="s">
        <v>576</v>
      </c>
      <c r="C624" s="32">
        <v>0</v>
      </c>
      <c r="D624" s="32">
        <v>1</v>
      </c>
      <c r="E624" s="31">
        <v>0.50000000052480864</v>
      </c>
      <c r="F624" s="31">
        <v>0</v>
      </c>
      <c r="G624" s="31">
        <v>0</v>
      </c>
      <c r="H624" s="31">
        <v>0</v>
      </c>
      <c r="I624" s="48">
        <v>0</v>
      </c>
      <c r="J624" s="47" t="s">
        <v>577</v>
      </c>
      <c r="K624" s="32">
        <v>0</v>
      </c>
      <c r="L624" s="32">
        <v>1</v>
      </c>
      <c r="M624" s="31">
        <v>-0.50000000052480864</v>
      </c>
      <c r="N624" s="31">
        <v>0</v>
      </c>
      <c r="O624" s="31">
        <v>0</v>
      </c>
      <c r="P624" s="31">
        <v>0</v>
      </c>
      <c r="Q624" s="31">
        <v>0</v>
      </c>
      <c r="R624" s="31">
        <v>0</v>
      </c>
      <c r="S624" s="31">
        <v>0</v>
      </c>
      <c r="T624" s="31" t="s">
        <v>46</v>
      </c>
      <c r="U624" s="31" t="s">
        <v>46</v>
      </c>
    </row>
    <row r="625" spans="1:21" x14ac:dyDescent="0.2">
      <c r="A625" s="31">
        <v>0.79338093618950467</v>
      </c>
      <c r="B625" s="46" t="s">
        <v>578</v>
      </c>
      <c r="C625" s="32">
        <v>0</v>
      </c>
      <c r="D625" s="32">
        <v>1</v>
      </c>
      <c r="E625" s="31">
        <v>0.50000000052480864</v>
      </c>
      <c r="F625" s="31">
        <v>0</v>
      </c>
      <c r="G625" s="31">
        <v>0</v>
      </c>
      <c r="H625" s="31">
        <v>0</v>
      </c>
      <c r="I625" s="31">
        <v>0</v>
      </c>
      <c r="J625" s="47" t="s">
        <v>579</v>
      </c>
      <c r="K625" s="32">
        <v>0</v>
      </c>
      <c r="L625" s="32">
        <v>1</v>
      </c>
      <c r="M625" s="31">
        <v>-0.50000000052480864</v>
      </c>
      <c r="N625" s="31">
        <v>0</v>
      </c>
      <c r="O625" s="31">
        <v>0</v>
      </c>
      <c r="P625" s="31">
        <v>0</v>
      </c>
      <c r="Q625" s="31">
        <v>0</v>
      </c>
      <c r="R625" s="31">
        <v>0</v>
      </c>
      <c r="S625" s="31">
        <v>0</v>
      </c>
      <c r="T625" s="31" t="s">
        <v>46</v>
      </c>
      <c r="U625" s="31" t="s">
        <v>46</v>
      </c>
    </row>
    <row r="626" spans="1:21" x14ac:dyDescent="0.2">
      <c r="A626" s="31">
        <v>0.82171596962484417</v>
      </c>
      <c r="B626" s="46" t="s">
        <v>580</v>
      </c>
      <c r="C626" s="32">
        <v>0</v>
      </c>
      <c r="D626" s="32">
        <v>1</v>
      </c>
      <c r="E626" s="31">
        <v>0.50000000052480864</v>
      </c>
      <c r="F626" s="31">
        <v>0</v>
      </c>
      <c r="G626" s="31">
        <v>0</v>
      </c>
      <c r="H626" s="31">
        <v>0</v>
      </c>
      <c r="I626" s="31">
        <v>0</v>
      </c>
      <c r="J626" s="47" t="s">
        <v>581</v>
      </c>
      <c r="K626" s="32">
        <v>0</v>
      </c>
      <c r="L626" s="32">
        <v>1</v>
      </c>
      <c r="M626" s="31">
        <v>-0.50000000052480864</v>
      </c>
      <c r="N626" s="31">
        <v>0</v>
      </c>
      <c r="O626" s="31">
        <v>0</v>
      </c>
      <c r="P626" s="31">
        <v>0</v>
      </c>
      <c r="Q626" s="31">
        <v>0</v>
      </c>
      <c r="R626" s="31">
        <v>0</v>
      </c>
      <c r="S626" s="31">
        <v>0</v>
      </c>
      <c r="T626" s="31" t="s">
        <v>46</v>
      </c>
      <c r="U626" s="31" t="s">
        <v>46</v>
      </c>
    </row>
    <row r="627" spans="1:21" x14ac:dyDescent="0.2">
      <c r="A627" s="31">
        <v>0.85005100306018355</v>
      </c>
      <c r="B627" s="46" t="s">
        <v>582</v>
      </c>
      <c r="C627" s="32">
        <v>0</v>
      </c>
      <c r="D627" s="32">
        <v>1</v>
      </c>
      <c r="E627" s="31">
        <v>0.50000000052480864</v>
      </c>
      <c r="F627" s="31">
        <v>0</v>
      </c>
      <c r="G627" s="31">
        <v>0</v>
      </c>
      <c r="H627" s="31">
        <v>0</v>
      </c>
      <c r="I627" s="31">
        <v>0</v>
      </c>
      <c r="J627" s="47" t="s">
        <v>583</v>
      </c>
      <c r="K627" s="32">
        <v>0</v>
      </c>
      <c r="L627" s="32">
        <v>1</v>
      </c>
      <c r="M627" s="31">
        <v>-0.50000000052480864</v>
      </c>
      <c r="N627" s="31">
        <v>0</v>
      </c>
      <c r="O627" s="31">
        <v>0</v>
      </c>
      <c r="P627" s="31">
        <v>0</v>
      </c>
      <c r="Q627" s="31">
        <v>0</v>
      </c>
      <c r="R627" s="31">
        <v>0</v>
      </c>
      <c r="S627" s="31">
        <v>0</v>
      </c>
      <c r="T627" s="31" t="s">
        <v>46</v>
      </c>
      <c r="U627" s="31" t="s">
        <v>46</v>
      </c>
    </row>
    <row r="628" spans="1:21" x14ac:dyDescent="0.2">
      <c r="A628" s="31">
        <v>0.85713476141901845</v>
      </c>
      <c r="B628" s="46" t="s">
        <v>584</v>
      </c>
      <c r="C628" s="32">
        <v>0</v>
      </c>
      <c r="D628" s="32">
        <v>1</v>
      </c>
      <c r="E628" s="31">
        <v>0.50000000052480864</v>
      </c>
      <c r="F628" s="31">
        <v>0</v>
      </c>
      <c r="G628" s="31">
        <v>0</v>
      </c>
      <c r="H628" s="31">
        <v>0</v>
      </c>
      <c r="I628" s="31">
        <v>0</v>
      </c>
      <c r="J628" s="47" t="s">
        <v>585</v>
      </c>
      <c r="K628" s="32">
        <v>0</v>
      </c>
      <c r="L628" s="32">
        <v>1</v>
      </c>
      <c r="M628" s="31">
        <v>-0.50000000052480864</v>
      </c>
      <c r="N628" s="31">
        <v>0</v>
      </c>
      <c r="O628" s="31">
        <v>0</v>
      </c>
      <c r="P628" s="31">
        <v>0</v>
      </c>
      <c r="Q628" s="31">
        <v>0</v>
      </c>
      <c r="R628" s="31">
        <v>0</v>
      </c>
      <c r="S628" s="31">
        <v>0</v>
      </c>
      <c r="T628" s="31" t="s">
        <v>46</v>
      </c>
      <c r="U628" s="31" t="s">
        <v>46</v>
      </c>
    </row>
    <row r="629" spans="1:21" x14ac:dyDescent="0.2">
      <c r="A629" s="31">
        <v>0.86421851977785324</v>
      </c>
      <c r="B629" s="46" t="s">
        <v>586</v>
      </c>
      <c r="C629" s="32">
        <v>0</v>
      </c>
      <c r="D629" s="32">
        <v>1</v>
      </c>
      <c r="E629" s="31">
        <v>0.50000000052480864</v>
      </c>
      <c r="F629" s="31">
        <v>0</v>
      </c>
      <c r="G629" s="31">
        <v>0</v>
      </c>
      <c r="H629" s="31">
        <v>0</v>
      </c>
      <c r="I629" s="31">
        <v>0</v>
      </c>
      <c r="J629" s="47" t="s">
        <v>587</v>
      </c>
      <c r="K629" s="32">
        <v>0</v>
      </c>
      <c r="L629" s="32">
        <v>1</v>
      </c>
      <c r="M629" s="31">
        <v>-0.50000000052480864</v>
      </c>
      <c r="N629" s="31">
        <v>0</v>
      </c>
      <c r="O629" s="31">
        <v>0</v>
      </c>
      <c r="P629" s="31">
        <v>0</v>
      </c>
      <c r="Q629" s="31">
        <v>0</v>
      </c>
      <c r="R629" s="31">
        <v>0</v>
      </c>
      <c r="S629" s="31">
        <v>0</v>
      </c>
      <c r="T629" s="31" t="s">
        <v>46</v>
      </c>
      <c r="U629" s="31" t="s">
        <v>46</v>
      </c>
    </row>
    <row r="630" spans="1:21" x14ac:dyDescent="0.2">
      <c r="A630" s="31">
        <v>0.87130227813668815</v>
      </c>
      <c r="B630" s="46" t="s">
        <v>588</v>
      </c>
      <c r="C630" s="32">
        <v>0</v>
      </c>
      <c r="D630" s="32">
        <v>1</v>
      </c>
      <c r="E630" s="31">
        <v>0.50000000052480864</v>
      </c>
      <c r="F630" s="31">
        <v>0</v>
      </c>
      <c r="G630" s="31">
        <v>0</v>
      </c>
      <c r="H630" s="31">
        <v>0</v>
      </c>
      <c r="I630" s="31">
        <v>0</v>
      </c>
      <c r="J630" s="47" t="s">
        <v>589</v>
      </c>
      <c r="K630" s="32">
        <v>0</v>
      </c>
      <c r="L630" s="32">
        <v>1</v>
      </c>
      <c r="M630" s="31">
        <v>-0.50000000052480864</v>
      </c>
      <c r="N630" s="31">
        <v>0</v>
      </c>
      <c r="O630" s="31">
        <v>0</v>
      </c>
      <c r="P630" s="31">
        <v>0</v>
      </c>
      <c r="Q630" s="31">
        <v>0</v>
      </c>
      <c r="R630" s="31">
        <v>0</v>
      </c>
      <c r="S630" s="31">
        <v>0</v>
      </c>
      <c r="T630" s="31" t="s">
        <v>46</v>
      </c>
      <c r="U630" s="31" t="s">
        <v>46</v>
      </c>
    </row>
    <row r="631" spans="1:21" x14ac:dyDescent="0.2">
      <c r="A631" s="31">
        <v>0.87838603649552305</v>
      </c>
      <c r="B631" s="46" t="s">
        <v>590</v>
      </c>
      <c r="C631" s="32">
        <v>0</v>
      </c>
      <c r="D631" s="32">
        <v>1</v>
      </c>
      <c r="E631" s="31">
        <v>0.50000000052480864</v>
      </c>
      <c r="F631" s="31">
        <v>0</v>
      </c>
      <c r="G631" s="31">
        <v>0</v>
      </c>
      <c r="H631" s="31">
        <v>0</v>
      </c>
      <c r="I631" s="31">
        <v>0</v>
      </c>
      <c r="J631" s="47" t="s">
        <v>591</v>
      </c>
      <c r="K631" s="32">
        <v>0</v>
      </c>
      <c r="L631" s="32">
        <v>1</v>
      </c>
      <c r="M631" s="31">
        <v>-0.50000000052480864</v>
      </c>
      <c r="N631" s="31">
        <v>0</v>
      </c>
      <c r="O631" s="31">
        <v>0</v>
      </c>
      <c r="P631" s="31">
        <v>0</v>
      </c>
      <c r="Q631" s="31">
        <v>0</v>
      </c>
      <c r="R631" s="31">
        <v>0</v>
      </c>
      <c r="S631" s="31">
        <v>0</v>
      </c>
      <c r="T631" s="31" t="s">
        <v>46</v>
      </c>
      <c r="U631" s="31" t="s">
        <v>46</v>
      </c>
    </row>
    <row r="632" spans="1:21" x14ac:dyDescent="0.2">
      <c r="A632" s="31">
        <v>0.88546979485435784</v>
      </c>
      <c r="B632" s="46" t="s">
        <v>592</v>
      </c>
      <c r="C632" s="32">
        <v>0</v>
      </c>
      <c r="D632" s="32">
        <v>1</v>
      </c>
      <c r="E632" s="31">
        <v>0.50000000052480864</v>
      </c>
      <c r="F632" s="31">
        <v>0</v>
      </c>
      <c r="G632" s="31">
        <v>0</v>
      </c>
      <c r="H632" s="31">
        <v>0</v>
      </c>
      <c r="I632" s="31">
        <v>0</v>
      </c>
      <c r="J632" s="47" t="s">
        <v>593</v>
      </c>
      <c r="K632" s="32">
        <v>0</v>
      </c>
      <c r="L632" s="32">
        <v>1</v>
      </c>
      <c r="M632" s="31">
        <v>-0.50000000052480864</v>
      </c>
      <c r="N632" s="31">
        <v>0</v>
      </c>
      <c r="O632" s="31">
        <v>0</v>
      </c>
      <c r="P632" s="31">
        <v>0</v>
      </c>
      <c r="Q632" s="31">
        <v>0</v>
      </c>
      <c r="R632" s="31">
        <v>0</v>
      </c>
      <c r="S632" s="31">
        <v>0</v>
      </c>
      <c r="T632" s="31" t="s">
        <v>46</v>
      </c>
      <c r="U632" s="31" t="s">
        <v>46</v>
      </c>
    </row>
    <row r="633" spans="1:21" x14ac:dyDescent="0.2">
      <c r="A633" s="31">
        <v>0.89255355321319274</v>
      </c>
      <c r="B633" s="46" t="s">
        <v>594</v>
      </c>
      <c r="C633" s="32">
        <v>0</v>
      </c>
      <c r="D633" s="32">
        <v>1</v>
      </c>
      <c r="E633" s="31">
        <v>0.50000000052480864</v>
      </c>
      <c r="F633" s="31">
        <v>0</v>
      </c>
      <c r="G633" s="31">
        <v>0</v>
      </c>
      <c r="H633" s="31">
        <v>0</v>
      </c>
      <c r="I633" s="31">
        <v>0</v>
      </c>
      <c r="J633" s="47" t="s">
        <v>595</v>
      </c>
      <c r="K633" s="32">
        <v>0</v>
      </c>
      <c r="L633" s="32">
        <v>1</v>
      </c>
      <c r="M633" s="31">
        <v>-0.50000000052480864</v>
      </c>
      <c r="N633" s="31">
        <v>0</v>
      </c>
      <c r="O633" s="31">
        <v>0</v>
      </c>
      <c r="P633" s="31">
        <v>0</v>
      </c>
      <c r="Q633" s="31">
        <v>0</v>
      </c>
      <c r="R633" s="31">
        <v>0</v>
      </c>
      <c r="S633" s="31">
        <v>0</v>
      </c>
      <c r="T633" s="31" t="s">
        <v>46</v>
      </c>
      <c r="U633" s="31" t="s">
        <v>46</v>
      </c>
    </row>
    <row r="634" spans="1:21" x14ac:dyDescent="0.2">
      <c r="A634" s="31">
        <v>0.89963731157202764</v>
      </c>
      <c r="B634" s="46" t="s">
        <v>596</v>
      </c>
      <c r="C634" s="32">
        <v>0</v>
      </c>
      <c r="D634" s="32">
        <v>1</v>
      </c>
      <c r="E634" s="31">
        <v>0.50000000052480864</v>
      </c>
      <c r="F634" s="31">
        <v>0</v>
      </c>
      <c r="G634" s="31">
        <v>0</v>
      </c>
      <c r="H634" s="31">
        <v>0</v>
      </c>
      <c r="I634" s="31">
        <v>0</v>
      </c>
      <c r="J634" s="47" t="s">
        <v>597</v>
      </c>
      <c r="K634" s="32">
        <v>0</v>
      </c>
      <c r="L634" s="32">
        <v>1</v>
      </c>
      <c r="M634" s="31">
        <v>-0.50000000052480864</v>
      </c>
      <c r="N634" s="31">
        <v>0</v>
      </c>
      <c r="O634" s="31">
        <v>0</v>
      </c>
      <c r="P634" s="31">
        <v>0</v>
      </c>
      <c r="Q634" s="31">
        <v>0</v>
      </c>
      <c r="R634" s="31">
        <v>0</v>
      </c>
      <c r="S634" s="31">
        <v>0</v>
      </c>
      <c r="T634" s="31" t="s">
        <v>46</v>
      </c>
      <c r="U634" s="31" t="s">
        <v>46</v>
      </c>
    </row>
    <row r="635" spans="1:21" x14ac:dyDescent="0.2">
      <c r="A635" s="31">
        <v>0.90672106993086243</v>
      </c>
      <c r="B635" s="46" t="s">
        <v>598</v>
      </c>
      <c r="C635" s="32">
        <v>0</v>
      </c>
      <c r="D635" s="32">
        <v>1</v>
      </c>
      <c r="E635" s="31">
        <v>0.50000000052480864</v>
      </c>
      <c r="F635" s="31">
        <v>0</v>
      </c>
      <c r="G635" s="31">
        <v>0</v>
      </c>
      <c r="H635" s="31">
        <v>0</v>
      </c>
      <c r="I635" s="31">
        <v>0</v>
      </c>
      <c r="J635" s="47" t="s">
        <v>599</v>
      </c>
      <c r="K635" s="32">
        <v>0</v>
      </c>
      <c r="L635" s="32">
        <v>1</v>
      </c>
      <c r="M635" s="31">
        <v>-0.50000000052480864</v>
      </c>
      <c r="N635" s="31">
        <v>0</v>
      </c>
      <c r="O635" s="31">
        <v>0</v>
      </c>
      <c r="P635" s="31">
        <v>0</v>
      </c>
      <c r="Q635" s="31">
        <v>0</v>
      </c>
      <c r="R635" s="31">
        <v>0</v>
      </c>
      <c r="S635" s="31">
        <v>0</v>
      </c>
      <c r="T635" s="31" t="s">
        <v>46</v>
      </c>
      <c r="U635" s="31" t="s">
        <v>46</v>
      </c>
    </row>
    <row r="636" spans="1:21" x14ac:dyDescent="0.2">
      <c r="A636" s="31">
        <v>0.91380482828969734</v>
      </c>
      <c r="B636" s="46" t="s">
        <v>600</v>
      </c>
      <c r="C636" s="32">
        <v>0</v>
      </c>
      <c r="D636" s="32">
        <v>1</v>
      </c>
      <c r="E636" s="31">
        <v>0.50000000052480864</v>
      </c>
      <c r="F636" s="31">
        <v>0</v>
      </c>
      <c r="G636" s="31">
        <v>0</v>
      </c>
      <c r="H636" s="31">
        <v>0</v>
      </c>
      <c r="I636" s="31">
        <v>0</v>
      </c>
      <c r="J636" s="47" t="s">
        <v>601</v>
      </c>
      <c r="K636" s="32">
        <v>0</v>
      </c>
      <c r="L636" s="32">
        <v>1</v>
      </c>
      <c r="M636" s="31">
        <v>-0.50000000052480864</v>
      </c>
      <c r="N636" s="31">
        <v>0</v>
      </c>
      <c r="O636" s="31">
        <v>0</v>
      </c>
      <c r="P636" s="31">
        <v>0</v>
      </c>
      <c r="Q636" s="31">
        <v>0</v>
      </c>
      <c r="R636" s="31">
        <v>0</v>
      </c>
      <c r="S636" s="31">
        <v>0</v>
      </c>
      <c r="T636" s="31" t="s">
        <v>46</v>
      </c>
      <c r="U636" s="31" t="s">
        <v>46</v>
      </c>
    </row>
    <row r="637" spans="1:21" x14ac:dyDescent="0.2">
      <c r="A637" s="31">
        <v>0.92088858664853224</v>
      </c>
      <c r="B637" s="46" t="s">
        <v>602</v>
      </c>
      <c r="C637" s="32">
        <v>0</v>
      </c>
      <c r="D637" s="32">
        <v>1</v>
      </c>
      <c r="E637" s="31">
        <v>0.50000000052480864</v>
      </c>
      <c r="F637" s="31">
        <v>0</v>
      </c>
      <c r="G637" s="31">
        <v>0</v>
      </c>
      <c r="H637" s="31">
        <v>0</v>
      </c>
      <c r="I637" s="31">
        <v>0</v>
      </c>
      <c r="J637" s="47" t="s">
        <v>603</v>
      </c>
      <c r="K637" s="32">
        <v>0</v>
      </c>
      <c r="L637" s="32">
        <v>1</v>
      </c>
      <c r="M637" s="31">
        <v>-0.50000000052480864</v>
      </c>
      <c r="N637" s="31">
        <v>0</v>
      </c>
      <c r="O637" s="31">
        <v>0</v>
      </c>
      <c r="P637" s="31">
        <v>0</v>
      </c>
      <c r="Q637" s="31">
        <v>0</v>
      </c>
      <c r="R637" s="31">
        <v>0</v>
      </c>
      <c r="S637" s="31">
        <v>0</v>
      </c>
      <c r="T637" s="31" t="s">
        <v>46</v>
      </c>
      <c r="U637" s="31" t="s">
        <v>46</v>
      </c>
    </row>
    <row r="638" spans="1:21" x14ac:dyDescent="0.2">
      <c r="A638" s="31">
        <v>0.92797234500736703</v>
      </c>
      <c r="B638" s="46" t="s">
        <v>604</v>
      </c>
      <c r="C638" s="32">
        <v>0</v>
      </c>
      <c r="D638" s="32">
        <v>1</v>
      </c>
      <c r="E638" s="31">
        <v>0.50000000052480864</v>
      </c>
      <c r="F638" s="31">
        <v>0</v>
      </c>
      <c r="G638" s="31">
        <v>0</v>
      </c>
      <c r="H638" s="31">
        <v>0</v>
      </c>
      <c r="I638" s="31">
        <v>0</v>
      </c>
      <c r="J638" s="47" t="s">
        <v>605</v>
      </c>
      <c r="K638" s="32">
        <v>0</v>
      </c>
      <c r="L638" s="32">
        <v>1</v>
      </c>
      <c r="M638" s="31">
        <v>-0.50000000052480864</v>
      </c>
      <c r="N638" s="31">
        <v>0</v>
      </c>
      <c r="O638" s="31">
        <v>0</v>
      </c>
      <c r="P638" s="31">
        <v>0</v>
      </c>
      <c r="Q638" s="31">
        <v>0</v>
      </c>
      <c r="R638" s="31">
        <v>0</v>
      </c>
      <c r="S638" s="31">
        <v>0</v>
      </c>
      <c r="T638" s="31" t="s">
        <v>46</v>
      </c>
      <c r="U638" s="31" t="s">
        <v>46</v>
      </c>
    </row>
    <row r="639" spans="1:21" x14ac:dyDescent="0.2">
      <c r="A639" s="31">
        <v>0.93505610336620193</v>
      </c>
      <c r="B639" s="46" t="s">
        <v>606</v>
      </c>
      <c r="C639" s="32">
        <v>0</v>
      </c>
      <c r="D639" s="32">
        <v>1</v>
      </c>
      <c r="E639" s="31">
        <v>0.50000000052480864</v>
      </c>
      <c r="F639" s="31">
        <v>0</v>
      </c>
      <c r="G639" s="31">
        <v>0</v>
      </c>
      <c r="H639" s="31">
        <v>0</v>
      </c>
      <c r="I639" s="31">
        <v>0</v>
      </c>
      <c r="J639" s="47" t="s">
        <v>607</v>
      </c>
      <c r="K639" s="32">
        <v>0</v>
      </c>
      <c r="L639" s="32">
        <v>1</v>
      </c>
      <c r="M639" s="31">
        <v>-0.50000000052480864</v>
      </c>
      <c r="N639" s="31">
        <v>0</v>
      </c>
      <c r="O639" s="31">
        <v>0</v>
      </c>
      <c r="P639" s="31">
        <v>0</v>
      </c>
      <c r="Q639" s="31">
        <v>0</v>
      </c>
      <c r="R639" s="31">
        <v>0</v>
      </c>
      <c r="S639" s="31">
        <v>0</v>
      </c>
      <c r="T639" s="31" t="s">
        <v>46</v>
      </c>
      <c r="U639" s="31" t="s">
        <v>46</v>
      </c>
    </row>
    <row r="640" spans="1:21" x14ac:dyDescent="0.2">
      <c r="A640" s="31">
        <v>0.94213986172503683</v>
      </c>
      <c r="B640" s="46" t="s">
        <v>608</v>
      </c>
      <c r="C640" s="32">
        <v>0</v>
      </c>
      <c r="D640" s="32">
        <v>1</v>
      </c>
      <c r="E640" s="31">
        <v>0.50000000052480864</v>
      </c>
      <c r="F640" s="31">
        <v>0</v>
      </c>
      <c r="G640" s="31">
        <v>0</v>
      </c>
      <c r="H640" s="31">
        <v>0</v>
      </c>
      <c r="I640" s="31">
        <v>0</v>
      </c>
      <c r="J640" s="47" t="s">
        <v>609</v>
      </c>
      <c r="K640" s="32">
        <v>0</v>
      </c>
      <c r="L640" s="32">
        <v>1</v>
      </c>
      <c r="M640" s="31">
        <v>-0.50000000052480864</v>
      </c>
      <c r="N640" s="31">
        <v>0</v>
      </c>
      <c r="O640" s="31">
        <v>0</v>
      </c>
      <c r="P640" s="31">
        <v>0</v>
      </c>
      <c r="Q640" s="31">
        <v>0</v>
      </c>
      <c r="R640" s="31">
        <v>0</v>
      </c>
      <c r="S640" s="31">
        <v>0</v>
      </c>
      <c r="T640" s="31" t="s">
        <v>46</v>
      </c>
      <c r="U640" s="31" t="s">
        <v>46</v>
      </c>
    </row>
    <row r="641" spans="1:21" x14ac:dyDescent="0.2">
      <c r="A641" s="31">
        <v>0.94922362008387162</v>
      </c>
      <c r="B641" s="46" t="s">
        <v>610</v>
      </c>
      <c r="C641" s="32">
        <v>0</v>
      </c>
      <c r="D641" s="32">
        <v>1</v>
      </c>
      <c r="E641" s="31">
        <v>0.50000000052480864</v>
      </c>
      <c r="F641" s="31">
        <v>0</v>
      </c>
      <c r="G641" s="31">
        <v>0</v>
      </c>
      <c r="H641" s="31">
        <v>0</v>
      </c>
      <c r="I641" s="31">
        <v>0</v>
      </c>
      <c r="J641" s="47" t="s">
        <v>611</v>
      </c>
      <c r="K641" s="32">
        <v>0</v>
      </c>
      <c r="L641" s="32">
        <v>1</v>
      </c>
      <c r="M641" s="31">
        <v>-0.50000000052480864</v>
      </c>
      <c r="N641" s="31">
        <v>0</v>
      </c>
      <c r="O641" s="31">
        <v>0</v>
      </c>
      <c r="P641" s="31">
        <v>0</v>
      </c>
      <c r="Q641" s="31">
        <v>0</v>
      </c>
      <c r="R641" s="31">
        <v>0</v>
      </c>
      <c r="S641" s="31">
        <v>0</v>
      </c>
      <c r="T641" s="31" t="s">
        <v>46</v>
      </c>
      <c r="U641" s="31" t="s">
        <v>46</v>
      </c>
    </row>
    <row r="642" spans="1:21" x14ac:dyDescent="0.2">
      <c r="A642" s="31">
        <v>0.95630737844270652</v>
      </c>
      <c r="B642" s="46" t="s">
        <v>612</v>
      </c>
      <c r="C642" s="32">
        <v>0</v>
      </c>
      <c r="D642" s="32">
        <v>1</v>
      </c>
      <c r="E642" s="31">
        <v>0.50000000052480864</v>
      </c>
      <c r="F642" s="31">
        <v>0</v>
      </c>
      <c r="G642" s="31">
        <v>0</v>
      </c>
      <c r="H642" s="31">
        <v>0</v>
      </c>
      <c r="I642" s="31">
        <v>0</v>
      </c>
      <c r="J642" s="47" t="s">
        <v>613</v>
      </c>
      <c r="K642" s="32">
        <v>0</v>
      </c>
      <c r="L642" s="32">
        <v>1</v>
      </c>
      <c r="M642" s="31">
        <v>-0.50000000052480864</v>
      </c>
      <c r="N642" s="31">
        <v>0</v>
      </c>
      <c r="O642" s="31">
        <v>0</v>
      </c>
      <c r="P642" s="31">
        <v>0</v>
      </c>
      <c r="Q642" s="31">
        <v>0</v>
      </c>
      <c r="R642" s="31">
        <v>0</v>
      </c>
      <c r="S642" s="31">
        <v>0</v>
      </c>
      <c r="T642" s="31" t="s">
        <v>46</v>
      </c>
      <c r="U642" s="31" t="s">
        <v>46</v>
      </c>
    </row>
    <row r="643" spans="1:21" x14ac:dyDescent="0.2">
      <c r="A643" s="31">
        <v>0.96339113680154143</v>
      </c>
      <c r="B643" s="46" t="s">
        <v>614</v>
      </c>
      <c r="C643" s="32">
        <v>0</v>
      </c>
      <c r="D643" s="32">
        <v>1</v>
      </c>
      <c r="E643" s="31">
        <v>0.50000000052480864</v>
      </c>
      <c r="F643" s="31">
        <v>0</v>
      </c>
      <c r="G643" s="31">
        <v>0</v>
      </c>
      <c r="H643" s="31">
        <v>0</v>
      </c>
      <c r="I643" s="31">
        <v>0</v>
      </c>
      <c r="J643" s="47" t="s">
        <v>615</v>
      </c>
      <c r="K643" s="32">
        <v>0</v>
      </c>
      <c r="L643" s="32">
        <v>1</v>
      </c>
      <c r="M643" s="31">
        <v>-0.50000000052480864</v>
      </c>
      <c r="N643" s="31">
        <v>0</v>
      </c>
      <c r="O643" s="31">
        <v>0</v>
      </c>
      <c r="P643" s="31">
        <v>0</v>
      </c>
      <c r="Q643" s="31">
        <v>0</v>
      </c>
      <c r="R643" s="31">
        <v>0</v>
      </c>
      <c r="S643" s="31">
        <v>0</v>
      </c>
      <c r="T643" s="31" t="s">
        <v>46</v>
      </c>
      <c r="U643" s="31" t="s">
        <v>46</v>
      </c>
    </row>
    <row r="644" spans="1:21" x14ac:dyDescent="0.2">
      <c r="A644" s="31">
        <v>0.97047489516037622</v>
      </c>
      <c r="B644" s="46" t="s">
        <v>616</v>
      </c>
      <c r="C644" s="32">
        <v>0</v>
      </c>
      <c r="D644" s="32">
        <v>1</v>
      </c>
      <c r="E644" s="31">
        <v>0.50000000052480864</v>
      </c>
      <c r="F644" s="31">
        <v>0</v>
      </c>
      <c r="G644" s="31">
        <v>0</v>
      </c>
      <c r="H644" s="31">
        <v>0</v>
      </c>
      <c r="I644" s="31">
        <v>0</v>
      </c>
      <c r="J644" s="47" t="s">
        <v>617</v>
      </c>
      <c r="K644" s="32">
        <v>0</v>
      </c>
      <c r="L644" s="32">
        <v>1</v>
      </c>
      <c r="M644" s="31">
        <v>-0.50000000052480864</v>
      </c>
      <c r="N644" s="31">
        <v>0</v>
      </c>
      <c r="O644" s="31">
        <v>0</v>
      </c>
      <c r="P644" s="31">
        <v>0</v>
      </c>
      <c r="Q644" s="31">
        <v>0</v>
      </c>
      <c r="R644" s="31">
        <v>0</v>
      </c>
      <c r="S644" s="31">
        <v>0</v>
      </c>
      <c r="T644" s="31" t="s">
        <v>46</v>
      </c>
      <c r="U644" s="31" t="s">
        <v>46</v>
      </c>
    </row>
    <row r="645" spans="1:21" x14ac:dyDescent="0.2">
      <c r="A645" s="31">
        <v>0.97755865351921112</v>
      </c>
      <c r="B645" s="46" t="s">
        <v>618</v>
      </c>
      <c r="C645" s="32">
        <v>0</v>
      </c>
      <c r="D645" s="32">
        <v>1</v>
      </c>
      <c r="E645" s="31">
        <v>0.50000000052480864</v>
      </c>
      <c r="F645" s="31">
        <v>0</v>
      </c>
      <c r="G645" s="31">
        <v>0</v>
      </c>
      <c r="H645" s="31">
        <v>0</v>
      </c>
      <c r="I645" s="31">
        <v>0</v>
      </c>
      <c r="J645" s="47" t="s">
        <v>619</v>
      </c>
      <c r="K645" s="32">
        <v>0</v>
      </c>
      <c r="L645" s="32">
        <v>1</v>
      </c>
      <c r="M645" s="31">
        <v>-0.50000000052480864</v>
      </c>
      <c r="N645" s="31">
        <v>0</v>
      </c>
      <c r="O645" s="31">
        <v>0</v>
      </c>
      <c r="P645" s="31">
        <v>0</v>
      </c>
      <c r="Q645" s="31">
        <v>0</v>
      </c>
      <c r="R645" s="31">
        <v>0</v>
      </c>
      <c r="S645" s="31">
        <v>0</v>
      </c>
      <c r="T645" s="31" t="s">
        <v>46</v>
      </c>
      <c r="U645" s="31" t="s">
        <v>46</v>
      </c>
    </row>
    <row r="646" spans="1:21" x14ac:dyDescent="0.2">
      <c r="A646" s="31">
        <v>0.98464241187804602</v>
      </c>
      <c r="B646" s="46" t="s">
        <v>620</v>
      </c>
      <c r="C646" s="32">
        <v>0</v>
      </c>
      <c r="D646" s="32">
        <v>1</v>
      </c>
      <c r="E646" s="31">
        <v>0.50000000052480864</v>
      </c>
      <c r="F646" s="31">
        <v>0</v>
      </c>
      <c r="G646" s="31">
        <v>0</v>
      </c>
      <c r="H646" s="31">
        <v>0</v>
      </c>
      <c r="I646" s="31">
        <v>0</v>
      </c>
      <c r="J646" s="47" t="s">
        <v>621</v>
      </c>
      <c r="K646" s="32">
        <v>0</v>
      </c>
      <c r="L646" s="32">
        <v>1</v>
      </c>
      <c r="M646" s="31">
        <v>-0.50000000052480864</v>
      </c>
      <c r="N646" s="31">
        <v>0</v>
      </c>
      <c r="O646" s="31">
        <v>0</v>
      </c>
      <c r="P646" s="31">
        <v>0</v>
      </c>
      <c r="Q646" s="31">
        <v>0</v>
      </c>
      <c r="R646" s="31">
        <v>0</v>
      </c>
      <c r="S646" s="31">
        <v>0</v>
      </c>
      <c r="T646" s="31" t="s">
        <v>46</v>
      </c>
      <c r="U646" s="31" t="s">
        <v>46</v>
      </c>
    </row>
    <row r="647" spans="1:21" x14ac:dyDescent="0.2">
      <c r="A647" s="31">
        <v>0.99172617023688081</v>
      </c>
      <c r="B647" s="46" t="s">
        <v>622</v>
      </c>
      <c r="C647" s="32">
        <v>0</v>
      </c>
      <c r="D647" s="32">
        <v>1</v>
      </c>
      <c r="E647" s="31">
        <v>0.50000000052480864</v>
      </c>
      <c r="F647" s="31">
        <v>0</v>
      </c>
      <c r="G647" s="31">
        <v>0</v>
      </c>
      <c r="H647" s="31">
        <v>0</v>
      </c>
      <c r="I647" s="31">
        <v>0</v>
      </c>
      <c r="J647" s="47" t="s">
        <v>623</v>
      </c>
      <c r="K647" s="32">
        <v>0</v>
      </c>
      <c r="L647" s="32">
        <v>1</v>
      </c>
      <c r="M647" s="31">
        <v>-0.50000000052480864</v>
      </c>
      <c r="N647" s="31">
        <v>0</v>
      </c>
      <c r="O647" s="31">
        <v>0</v>
      </c>
      <c r="P647" s="31">
        <v>0</v>
      </c>
      <c r="Q647" s="31">
        <v>0</v>
      </c>
      <c r="R647" s="31">
        <v>0</v>
      </c>
      <c r="S647" s="31">
        <v>0</v>
      </c>
      <c r="T647" s="31" t="s">
        <v>46</v>
      </c>
      <c r="U647" s="31" t="s">
        <v>46</v>
      </c>
    </row>
    <row r="648" spans="1:21" x14ac:dyDescent="0.2">
      <c r="A648" s="31">
        <v>0.99880992859571571</v>
      </c>
      <c r="B648" s="46" t="s">
        <v>624</v>
      </c>
      <c r="C648" s="32">
        <v>0</v>
      </c>
      <c r="D648" s="32">
        <v>1</v>
      </c>
      <c r="E648" s="31">
        <v>0.50000000052480864</v>
      </c>
      <c r="F648" s="31">
        <v>0</v>
      </c>
      <c r="G648" s="31">
        <v>0</v>
      </c>
      <c r="H648" s="31">
        <v>0</v>
      </c>
      <c r="I648" s="31">
        <v>0</v>
      </c>
      <c r="J648" s="47" t="s">
        <v>625</v>
      </c>
      <c r="K648" s="32">
        <v>0</v>
      </c>
      <c r="L648" s="32">
        <v>1</v>
      </c>
      <c r="M648" s="31">
        <v>-0.50000000052480864</v>
      </c>
      <c r="N648" s="31">
        <v>0</v>
      </c>
      <c r="O648" s="31">
        <v>0</v>
      </c>
      <c r="P648" s="31">
        <v>0</v>
      </c>
      <c r="Q648" s="31">
        <v>0</v>
      </c>
      <c r="R648" s="31">
        <v>0</v>
      </c>
      <c r="S648" s="31">
        <v>0</v>
      </c>
      <c r="T648" s="31" t="s">
        <v>46</v>
      </c>
      <c r="U648" s="31" t="s">
        <v>46</v>
      </c>
    </row>
    <row r="649" spans="1:21" x14ac:dyDescent="0.2">
      <c r="A649" s="31">
        <v>1.0058936869545505</v>
      </c>
      <c r="B649" s="46" t="s">
        <v>626</v>
      </c>
      <c r="C649" s="32">
        <v>0</v>
      </c>
      <c r="D649" s="32">
        <v>1</v>
      </c>
      <c r="E649" s="31">
        <v>0.50000000052480864</v>
      </c>
      <c r="F649" s="31">
        <v>0</v>
      </c>
      <c r="G649" s="31">
        <v>0</v>
      </c>
      <c r="H649" s="31">
        <v>0</v>
      </c>
      <c r="I649" s="31">
        <v>0</v>
      </c>
      <c r="J649" s="47" t="s">
        <v>627</v>
      </c>
      <c r="K649" s="32">
        <v>0</v>
      </c>
      <c r="L649" s="32">
        <v>1</v>
      </c>
      <c r="M649" s="31">
        <v>-0.50000000052480864</v>
      </c>
      <c r="N649" s="31">
        <v>0</v>
      </c>
      <c r="O649" s="31">
        <v>0</v>
      </c>
      <c r="P649" s="31">
        <v>0</v>
      </c>
      <c r="Q649" s="31">
        <v>0</v>
      </c>
      <c r="R649" s="31">
        <v>0</v>
      </c>
      <c r="S649" s="31">
        <v>0</v>
      </c>
      <c r="T649" s="31" t="s">
        <v>46</v>
      </c>
      <c r="U649" s="31" t="s">
        <v>46</v>
      </c>
    </row>
    <row r="650" spans="1:21" x14ac:dyDescent="0.2">
      <c r="A650" s="31">
        <v>1.0129774453133855</v>
      </c>
      <c r="B650" s="46" t="s">
        <v>628</v>
      </c>
      <c r="C650" s="32">
        <v>0</v>
      </c>
      <c r="D650" s="32">
        <v>1</v>
      </c>
      <c r="E650" s="31">
        <v>0.50000000052480864</v>
      </c>
      <c r="F650" s="31">
        <v>0</v>
      </c>
      <c r="G650" s="31">
        <v>0</v>
      </c>
      <c r="H650" s="31">
        <v>0</v>
      </c>
      <c r="I650" s="31">
        <v>0</v>
      </c>
      <c r="J650" s="47" t="s">
        <v>629</v>
      </c>
      <c r="K650" s="32">
        <v>0</v>
      </c>
      <c r="L650" s="32">
        <v>1</v>
      </c>
      <c r="M650" s="31">
        <v>-0.50000000052480864</v>
      </c>
      <c r="N650" s="31">
        <v>0</v>
      </c>
      <c r="O650" s="31">
        <v>0</v>
      </c>
      <c r="P650" s="31">
        <v>0</v>
      </c>
      <c r="Q650" s="31">
        <v>0</v>
      </c>
      <c r="R650" s="31">
        <v>0</v>
      </c>
      <c r="S650" s="31">
        <v>0</v>
      </c>
      <c r="T650" s="31" t="s">
        <v>46</v>
      </c>
      <c r="U650" s="31" t="s">
        <v>46</v>
      </c>
    </row>
    <row r="651" spans="1:21" x14ac:dyDescent="0.2">
      <c r="A651" s="31">
        <v>1.0200612036722203</v>
      </c>
      <c r="B651" s="46" t="s">
        <v>630</v>
      </c>
      <c r="C651" s="32">
        <v>0</v>
      </c>
      <c r="D651" s="32">
        <v>1</v>
      </c>
      <c r="E651" s="31">
        <v>0.50000000052480864</v>
      </c>
      <c r="F651" s="31">
        <v>0</v>
      </c>
      <c r="G651" s="31">
        <v>0</v>
      </c>
      <c r="H651" s="31">
        <v>0</v>
      </c>
      <c r="I651" s="31">
        <v>0</v>
      </c>
      <c r="J651" s="47" t="s">
        <v>631</v>
      </c>
      <c r="K651" s="32">
        <v>0</v>
      </c>
      <c r="L651" s="32">
        <v>1</v>
      </c>
      <c r="M651" s="31">
        <v>-0.50000000052480864</v>
      </c>
      <c r="N651" s="31">
        <v>0</v>
      </c>
      <c r="O651" s="31">
        <v>0</v>
      </c>
      <c r="P651" s="31">
        <v>0</v>
      </c>
      <c r="Q651" s="31">
        <v>0</v>
      </c>
      <c r="R651" s="31">
        <v>0</v>
      </c>
      <c r="S651" s="31">
        <v>0</v>
      </c>
      <c r="T651" s="31" t="s">
        <v>46</v>
      </c>
      <c r="U651" s="31" t="s">
        <v>46</v>
      </c>
    </row>
    <row r="652" spans="1:21" x14ac:dyDescent="0.2">
      <c r="A652" s="31">
        <v>1.0271449620310551</v>
      </c>
      <c r="B652" s="46" t="s">
        <v>632</v>
      </c>
      <c r="C652" s="32">
        <v>0</v>
      </c>
      <c r="D652" s="32">
        <v>1</v>
      </c>
      <c r="E652" s="31">
        <v>0.50000000052480864</v>
      </c>
      <c r="F652" s="31">
        <v>0</v>
      </c>
      <c r="G652" s="31">
        <v>0</v>
      </c>
      <c r="H652" s="31">
        <v>0</v>
      </c>
      <c r="I652" s="31">
        <v>0</v>
      </c>
      <c r="J652" s="47" t="s">
        <v>633</v>
      </c>
      <c r="K652" s="32">
        <v>0</v>
      </c>
      <c r="L652" s="32">
        <v>1</v>
      </c>
      <c r="M652" s="31">
        <v>-0.50000000052480864</v>
      </c>
      <c r="N652" s="31">
        <v>0</v>
      </c>
      <c r="O652" s="31">
        <v>0</v>
      </c>
      <c r="P652" s="31">
        <v>0</v>
      </c>
      <c r="Q652" s="31">
        <v>0</v>
      </c>
      <c r="R652" s="31">
        <v>0</v>
      </c>
      <c r="S652" s="31">
        <v>0</v>
      </c>
      <c r="T652" s="31" t="s">
        <v>46</v>
      </c>
      <c r="U652" s="31" t="s">
        <v>46</v>
      </c>
    </row>
    <row r="653" spans="1:21" x14ac:dyDescent="0.2">
      <c r="A653" s="31">
        <v>1.0342287203898901</v>
      </c>
      <c r="B653" s="46" t="s">
        <v>634</v>
      </c>
      <c r="C653" s="32">
        <v>0</v>
      </c>
      <c r="D653" s="32">
        <v>1</v>
      </c>
      <c r="E653" s="31">
        <v>0.50000000052480864</v>
      </c>
      <c r="F653" s="31">
        <v>0</v>
      </c>
      <c r="G653" s="31">
        <v>0</v>
      </c>
      <c r="H653" s="31">
        <v>0</v>
      </c>
      <c r="I653" s="31">
        <v>0</v>
      </c>
      <c r="J653" s="47" t="s">
        <v>635</v>
      </c>
      <c r="K653" s="32">
        <v>0</v>
      </c>
      <c r="L653" s="32">
        <v>1</v>
      </c>
      <c r="M653" s="31">
        <v>-0.50000000052480864</v>
      </c>
      <c r="N653" s="31">
        <v>0</v>
      </c>
      <c r="O653" s="31">
        <v>0</v>
      </c>
      <c r="P653" s="31">
        <v>0</v>
      </c>
      <c r="Q653" s="31">
        <v>0</v>
      </c>
      <c r="R653" s="31">
        <v>0</v>
      </c>
      <c r="S653" s="31">
        <v>0</v>
      </c>
      <c r="T653" s="31" t="s">
        <v>46</v>
      </c>
      <c r="U653" s="31" t="s">
        <v>46</v>
      </c>
    </row>
    <row r="654" spans="1:21" x14ac:dyDescent="0.2">
      <c r="A654" s="31">
        <v>1.0413124787487249</v>
      </c>
      <c r="B654" s="46" t="s">
        <v>636</v>
      </c>
      <c r="C654" s="32">
        <v>0</v>
      </c>
      <c r="D654" s="32">
        <v>1</v>
      </c>
      <c r="E654" s="31">
        <v>0.50000000052480864</v>
      </c>
      <c r="F654" s="31">
        <v>0</v>
      </c>
      <c r="G654" s="31">
        <v>0</v>
      </c>
      <c r="H654" s="31">
        <v>0</v>
      </c>
      <c r="I654" s="31">
        <v>0</v>
      </c>
      <c r="J654" s="47" t="s">
        <v>637</v>
      </c>
      <c r="K654" s="32">
        <v>0</v>
      </c>
      <c r="L654" s="32">
        <v>1</v>
      </c>
      <c r="M654" s="31">
        <v>-0.50000000052480864</v>
      </c>
      <c r="N654" s="31">
        <v>0</v>
      </c>
      <c r="O654" s="31">
        <v>0</v>
      </c>
      <c r="P654" s="31">
        <v>0</v>
      </c>
      <c r="Q654" s="31">
        <v>0</v>
      </c>
      <c r="R654" s="31">
        <v>0</v>
      </c>
      <c r="S654" s="31">
        <v>0</v>
      </c>
      <c r="T654" s="31" t="s">
        <v>46</v>
      </c>
      <c r="U654" s="31" t="s">
        <v>46</v>
      </c>
    </row>
    <row r="655" spans="1:21" x14ac:dyDescent="0.2">
      <c r="A655" s="31">
        <v>1.0483962371075597</v>
      </c>
      <c r="B655" s="46" t="s">
        <v>638</v>
      </c>
      <c r="C655" s="32">
        <v>0</v>
      </c>
      <c r="D655" s="32">
        <v>1</v>
      </c>
      <c r="E655" s="31">
        <v>0.50000000052480864</v>
      </c>
      <c r="F655" s="31">
        <v>0</v>
      </c>
      <c r="G655" s="31">
        <v>0</v>
      </c>
      <c r="H655" s="31">
        <v>0</v>
      </c>
      <c r="I655" s="31">
        <v>0</v>
      </c>
      <c r="J655" s="47" t="s">
        <v>639</v>
      </c>
      <c r="K655" s="32">
        <v>0</v>
      </c>
      <c r="L655" s="32">
        <v>1</v>
      </c>
      <c r="M655" s="31">
        <v>-0.50000000052480864</v>
      </c>
      <c r="N655" s="31">
        <v>0</v>
      </c>
      <c r="O655" s="31">
        <v>0</v>
      </c>
      <c r="P655" s="31">
        <v>0</v>
      </c>
      <c r="Q655" s="31">
        <v>0</v>
      </c>
      <c r="R655" s="31">
        <v>0</v>
      </c>
      <c r="S655" s="31">
        <v>0</v>
      </c>
      <c r="T655" s="31" t="s">
        <v>46</v>
      </c>
      <c r="U655" s="31" t="s">
        <v>46</v>
      </c>
    </row>
    <row r="656" spans="1:21" x14ac:dyDescent="0.2">
      <c r="A656" s="31">
        <v>1.0554799954663947</v>
      </c>
      <c r="B656" s="46" t="s">
        <v>640</v>
      </c>
      <c r="C656" s="32">
        <v>0</v>
      </c>
      <c r="D656" s="32">
        <v>1</v>
      </c>
      <c r="E656" s="31">
        <v>0.50000000052480864</v>
      </c>
      <c r="F656" s="31">
        <v>0</v>
      </c>
      <c r="G656" s="31">
        <v>0</v>
      </c>
      <c r="H656" s="31">
        <v>0</v>
      </c>
      <c r="I656" s="31">
        <v>0</v>
      </c>
      <c r="J656" s="47" t="s">
        <v>641</v>
      </c>
      <c r="K656" s="32">
        <v>0</v>
      </c>
      <c r="L656" s="32">
        <v>1</v>
      </c>
      <c r="M656" s="31">
        <v>-0.50000000052480864</v>
      </c>
      <c r="N656" s="31">
        <v>0</v>
      </c>
      <c r="O656" s="31">
        <v>0</v>
      </c>
      <c r="P656" s="31">
        <v>0</v>
      </c>
      <c r="Q656" s="31">
        <v>0</v>
      </c>
      <c r="R656" s="31">
        <v>0</v>
      </c>
      <c r="S656" s="31">
        <v>0</v>
      </c>
      <c r="T656" s="31" t="s">
        <v>46</v>
      </c>
      <c r="U656" s="31" t="s">
        <v>46</v>
      </c>
    </row>
    <row r="657" spans="1:21" x14ac:dyDescent="0.2">
      <c r="A657" s="31">
        <v>1.0625637538252295</v>
      </c>
      <c r="B657" s="46" t="s">
        <v>642</v>
      </c>
      <c r="C657" s="32">
        <v>0</v>
      </c>
      <c r="D657" s="32">
        <v>1</v>
      </c>
      <c r="E657" s="31">
        <v>0.50000000052480864</v>
      </c>
      <c r="F657" s="31">
        <v>0</v>
      </c>
      <c r="G657" s="31">
        <v>0</v>
      </c>
      <c r="H657" s="31">
        <v>0</v>
      </c>
      <c r="I657" s="31">
        <v>0</v>
      </c>
      <c r="J657" s="47" t="s">
        <v>643</v>
      </c>
      <c r="K657" s="32">
        <v>0</v>
      </c>
      <c r="L657" s="32">
        <v>1</v>
      </c>
      <c r="M657" s="31">
        <v>-0.50000000052480864</v>
      </c>
      <c r="N657" s="31">
        <v>0</v>
      </c>
      <c r="O657" s="31">
        <v>0</v>
      </c>
      <c r="P657" s="31">
        <v>0</v>
      </c>
      <c r="Q657" s="31">
        <v>0</v>
      </c>
      <c r="R657" s="31">
        <v>0</v>
      </c>
      <c r="S657" s="31">
        <v>0</v>
      </c>
      <c r="T657" s="31" t="s">
        <v>46</v>
      </c>
      <c r="U657" s="31" t="s">
        <v>46</v>
      </c>
    </row>
    <row r="658" spans="1:21" x14ac:dyDescent="0.2">
      <c r="A658" s="31">
        <v>1.0696475121840643</v>
      </c>
      <c r="B658" s="46" t="s">
        <v>644</v>
      </c>
      <c r="C658" s="32">
        <v>0</v>
      </c>
      <c r="D658" s="32">
        <v>1</v>
      </c>
      <c r="E658" s="31">
        <v>0.50000000052480864</v>
      </c>
      <c r="F658" s="31">
        <v>0</v>
      </c>
      <c r="G658" s="31">
        <v>0</v>
      </c>
      <c r="H658" s="31">
        <v>0</v>
      </c>
      <c r="I658" s="31">
        <v>0</v>
      </c>
      <c r="J658" s="47" t="s">
        <v>645</v>
      </c>
      <c r="K658" s="32">
        <v>0</v>
      </c>
      <c r="L658" s="32">
        <v>1</v>
      </c>
      <c r="M658" s="31">
        <v>-0.50000000052480864</v>
      </c>
      <c r="N658" s="31">
        <v>0</v>
      </c>
      <c r="O658" s="31">
        <v>0</v>
      </c>
      <c r="P658" s="31">
        <v>0</v>
      </c>
      <c r="Q658" s="31">
        <v>0</v>
      </c>
      <c r="R658" s="31">
        <v>0</v>
      </c>
      <c r="S658" s="31">
        <v>0</v>
      </c>
      <c r="T658" s="31" t="s">
        <v>46</v>
      </c>
      <c r="U658" s="31" t="s">
        <v>46</v>
      </c>
    </row>
    <row r="659" spans="1:21" x14ac:dyDescent="0.2">
      <c r="A659" s="31">
        <v>1.0767312705428993</v>
      </c>
      <c r="B659" s="46" t="s">
        <v>646</v>
      </c>
      <c r="C659" s="32">
        <v>0</v>
      </c>
      <c r="D659" s="32">
        <v>1</v>
      </c>
      <c r="E659" s="31">
        <v>0.50000000052480864</v>
      </c>
      <c r="F659" s="31">
        <v>0</v>
      </c>
      <c r="G659" s="31">
        <v>0</v>
      </c>
      <c r="H659" s="31">
        <v>0</v>
      </c>
      <c r="I659" s="31">
        <v>0</v>
      </c>
      <c r="J659" s="47" t="s">
        <v>647</v>
      </c>
      <c r="K659" s="32">
        <v>0</v>
      </c>
      <c r="L659" s="32">
        <v>1</v>
      </c>
      <c r="M659" s="31">
        <v>-0.50000000052480864</v>
      </c>
      <c r="N659" s="31">
        <v>0</v>
      </c>
      <c r="O659" s="31">
        <v>0</v>
      </c>
      <c r="P659" s="31">
        <v>0</v>
      </c>
      <c r="Q659" s="31">
        <v>0</v>
      </c>
      <c r="R659" s="31">
        <v>0</v>
      </c>
      <c r="S659" s="31">
        <v>0</v>
      </c>
      <c r="T659" s="31" t="s">
        <v>46</v>
      </c>
      <c r="U659" s="31" t="s">
        <v>46</v>
      </c>
    </row>
    <row r="660" spans="1:21" x14ac:dyDescent="0.2">
      <c r="A660" s="31">
        <v>1.0838150289017341</v>
      </c>
      <c r="B660" s="46" t="s">
        <v>648</v>
      </c>
      <c r="C660" s="32">
        <v>0</v>
      </c>
      <c r="D660" s="32">
        <v>1</v>
      </c>
      <c r="E660" s="31">
        <v>0.50000000052480864</v>
      </c>
      <c r="F660" s="31">
        <v>0</v>
      </c>
      <c r="G660" s="31">
        <v>0</v>
      </c>
      <c r="H660" s="31">
        <v>0</v>
      </c>
      <c r="I660" s="31">
        <v>0</v>
      </c>
      <c r="J660" s="47" t="s">
        <v>649</v>
      </c>
      <c r="K660" s="32">
        <v>0</v>
      </c>
      <c r="L660" s="32">
        <v>1</v>
      </c>
      <c r="M660" s="31">
        <v>-0.50000000052480864</v>
      </c>
      <c r="N660" s="31">
        <v>0</v>
      </c>
      <c r="O660" s="31">
        <v>0</v>
      </c>
      <c r="P660" s="31">
        <v>0</v>
      </c>
      <c r="Q660" s="31">
        <v>0</v>
      </c>
      <c r="R660" s="31">
        <v>0</v>
      </c>
      <c r="S660" s="31">
        <v>0</v>
      </c>
      <c r="T660" s="31" t="s">
        <v>46</v>
      </c>
      <c r="U660" s="31" t="s">
        <v>46</v>
      </c>
    </row>
    <row r="661" spans="1:21" x14ac:dyDescent="0.2">
      <c r="A661" s="31">
        <v>1.0908987872605689</v>
      </c>
      <c r="B661" s="46" t="s">
        <v>650</v>
      </c>
      <c r="C661" s="32">
        <v>0</v>
      </c>
      <c r="D661" s="32">
        <v>1</v>
      </c>
      <c r="E661" s="31">
        <v>0.50000000052480864</v>
      </c>
      <c r="F661" s="31">
        <v>0</v>
      </c>
      <c r="G661" s="31">
        <v>0</v>
      </c>
      <c r="H661" s="31">
        <v>0</v>
      </c>
      <c r="I661" s="31">
        <v>0</v>
      </c>
      <c r="J661" s="47" t="s">
        <v>651</v>
      </c>
      <c r="K661" s="32">
        <v>0</v>
      </c>
      <c r="L661" s="32">
        <v>1</v>
      </c>
      <c r="M661" s="31">
        <v>-0.50000000052480864</v>
      </c>
      <c r="N661" s="31">
        <v>0</v>
      </c>
      <c r="O661" s="31">
        <v>0</v>
      </c>
      <c r="P661" s="31">
        <v>0</v>
      </c>
      <c r="Q661" s="31">
        <v>0</v>
      </c>
      <c r="R661" s="31">
        <v>0</v>
      </c>
      <c r="S661" s="31">
        <v>0</v>
      </c>
      <c r="T661" s="31" t="s">
        <v>46</v>
      </c>
      <c r="U661" s="31" t="s">
        <v>46</v>
      </c>
    </row>
    <row r="662" spans="1:21" x14ac:dyDescent="0.2">
      <c r="A662" s="31">
        <v>1.0979825456194037</v>
      </c>
      <c r="B662" s="46" t="s">
        <v>652</v>
      </c>
      <c r="C662" s="32">
        <v>0</v>
      </c>
      <c r="D662" s="32">
        <v>1</v>
      </c>
      <c r="E662" s="31">
        <v>0.50000000052480864</v>
      </c>
      <c r="F662" s="31">
        <v>0</v>
      </c>
      <c r="G662" s="31">
        <v>0</v>
      </c>
      <c r="H662" s="31">
        <v>0</v>
      </c>
      <c r="I662" s="31">
        <v>0</v>
      </c>
      <c r="J662" s="47" t="s">
        <v>653</v>
      </c>
      <c r="K662" s="32">
        <v>0</v>
      </c>
      <c r="L662" s="32">
        <v>1</v>
      </c>
      <c r="M662" s="31">
        <v>-0.50000000052480864</v>
      </c>
      <c r="N662" s="31">
        <v>0</v>
      </c>
      <c r="O662" s="31">
        <v>0</v>
      </c>
      <c r="P662" s="31">
        <v>0</v>
      </c>
      <c r="Q662" s="31">
        <v>0</v>
      </c>
      <c r="R662" s="31">
        <v>0</v>
      </c>
      <c r="S662" s="31">
        <v>0</v>
      </c>
      <c r="T662" s="31" t="s">
        <v>46</v>
      </c>
      <c r="U662" s="31" t="s">
        <v>46</v>
      </c>
    </row>
    <row r="663" spans="1:21" x14ac:dyDescent="0.2">
      <c r="A663" s="31">
        <v>1.1050663039782387</v>
      </c>
      <c r="B663" s="46" t="s">
        <v>654</v>
      </c>
      <c r="C663" s="32">
        <v>0</v>
      </c>
      <c r="D663" s="32">
        <v>1</v>
      </c>
      <c r="E663" s="31">
        <v>0.50000000052480864</v>
      </c>
      <c r="F663" s="31">
        <v>0</v>
      </c>
      <c r="G663" s="31">
        <v>0</v>
      </c>
      <c r="H663" s="31">
        <v>0</v>
      </c>
      <c r="I663" s="31">
        <v>0</v>
      </c>
      <c r="J663" s="47" t="s">
        <v>655</v>
      </c>
      <c r="K663" s="32">
        <v>0</v>
      </c>
      <c r="L663" s="32">
        <v>1</v>
      </c>
      <c r="M663" s="31">
        <v>-0.50000000052480864</v>
      </c>
      <c r="N663" s="31">
        <v>0</v>
      </c>
      <c r="O663" s="31">
        <v>0</v>
      </c>
      <c r="P663" s="31">
        <v>0</v>
      </c>
      <c r="Q663" s="31">
        <v>0</v>
      </c>
      <c r="R663" s="31">
        <v>0</v>
      </c>
      <c r="S663" s="31">
        <v>0</v>
      </c>
      <c r="T663" s="31" t="s">
        <v>46</v>
      </c>
      <c r="U663" s="31" t="s">
        <v>46</v>
      </c>
    </row>
    <row r="664" spans="1:21" x14ac:dyDescent="0.2">
      <c r="A664" s="31">
        <v>1.1121500623370735</v>
      </c>
      <c r="B664" s="46" t="s">
        <v>656</v>
      </c>
      <c r="C664" s="32">
        <v>0</v>
      </c>
      <c r="D664" s="32">
        <v>1</v>
      </c>
      <c r="E664" s="31">
        <v>0.50000000052480864</v>
      </c>
      <c r="F664" s="31">
        <v>0</v>
      </c>
      <c r="G664" s="31">
        <v>0</v>
      </c>
      <c r="H664" s="31">
        <v>0</v>
      </c>
      <c r="I664" s="31">
        <v>0</v>
      </c>
      <c r="J664" s="47" t="s">
        <v>657</v>
      </c>
      <c r="K664" s="32">
        <v>0</v>
      </c>
      <c r="L664" s="32">
        <v>1</v>
      </c>
      <c r="M664" s="31">
        <v>-0.50000000052480864</v>
      </c>
      <c r="N664" s="31">
        <v>0</v>
      </c>
      <c r="O664" s="31">
        <v>0</v>
      </c>
      <c r="P664" s="31">
        <v>0</v>
      </c>
      <c r="Q664" s="31">
        <v>0</v>
      </c>
      <c r="R664" s="31">
        <v>0</v>
      </c>
      <c r="S664" s="31">
        <v>0</v>
      </c>
      <c r="T664" s="31" t="s">
        <v>46</v>
      </c>
      <c r="U664" s="31" t="s">
        <v>46</v>
      </c>
    </row>
    <row r="665" spans="1:21" x14ac:dyDescent="0.2">
      <c r="A665" s="31">
        <v>1.1192338206959083</v>
      </c>
      <c r="B665" s="46" t="s">
        <v>658</v>
      </c>
      <c r="C665" s="32">
        <v>0</v>
      </c>
      <c r="D665" s="32">
        <v>1</v>
      </c>
      <c r="E665" s="31">
        <v>0.50000000052480864</v>
      </c>
      <c r="F665" s="31">
        <v>0</v>
      </c>
      <c r="G665" s="31">
        <v>0</v>
      </c>
      <c r="H665" s="31">
        <v>0</v>
      </c>
      <c r="I665" s="31">
        <v>0</v>
      </c>
      <c r="J665" s="47" t="s">
        <v>659</v>
      </c>
      <c r="K665" s="32">
        <v>0</v>
      </c>
      <c r="L665" s="32">
        <v>1</v>
      </c>
      <c r="M665" s="31">
        <v>-0.50000000052480864</v>
      </c>
      <c r="N665" s="31">
        <v>0</v>
      </c>
      <c r="O665" s="31">
        <v>0</v>
      </c>
      <c r="P665" s="31">
        <v>0</v>
      </c>
      <c r="Q665" s="31">
        <v>0</v>
      </c>
      <c r="R665" s="31">
        <v>0</v>
      </c>
      <c r="S665" s="31">
        <v>0</v>
      </c>
      <c r="T665" s="31" t="s">
        <v>46</v>
      </c>
      <c r="U665" s="31" t="s">
        <v>46</v>
      </c>
    </row>
    <row r="666" spans="1:21" x14ac:dyDescent="0.2">
      <c r="A666" s="31">
        <v>1.1263175790547433</v>
      </c>
      <c r="B666" s="46" t="s">
        <v>660</v>
      </c>
      <c r="C666" s="32">
        <v>0</v>
      </c>
      <c r="D666" s="32">
        <v>1</v>
      </c>
      <c r="E666" s="31">
        <v>0.50000000052480864</v>
      </c>
      <c r="F666" s="31">
        <v>0</v>
      </c>
      <c r="G666" s="31">
        <v>0</v>
      </c>
      <c r="H666" s="31">
        <v>0</v>
      </c>
      <c r="I666" s="31">
        <v>0</v>
      </c>
      <c r="J666" s="47" t="s">
        <v>661</v>
      </c>
      <c r="K666" s="32">
        <v>0</v>
      </c>
      <c r="L666" s="32">
        <v>1</v>
      </c>
      <c r="M666" s="31">
        <v>-0.50000000052480864</v>
      </c>
      <c r="N666" s="31">
        <v>0</v>
      </c>
      <c r="O666" s="31">
        <v>0</v>
      </c>
      <c r="P666" s="31">
        <v>0</v>
      </c>
      <c r="Q666" s="31">
        <v>0</v>
      </c>
      <c r="R666" s="31">
        <v>0</v>
      </c>
      <c r="S666" s="31">
        <v>0</v>
      </c>
      <c r="T666" s="31" t="s">
        <v>46</v>
      </c>
      <c r="U666" s="31" t="s">
        <v>46</v>
      </c>
    </row>
    <row r="667" spans="1:21" x14ac:dyDescent="0.2">
      <c r="A667" s="31">
        <v>1.1334013374135781</v>
      </c>
      <c r="B667" s="46" t="s">
        <v>662</v>
      </c>
      <c r="C667" s="32">
        <v>0</v>
      </c>
      <c r="D667" s="32">
        <v>1</v>
      </c>
      <c r="E667" s="31">
        <v>0.50000000052480864</v>
      </c>
      <c r="F667" s="31">
        <v>0</v>
      </c>
      <c r="G667" s="31">
        <v>0</v>
      </c>
      <c r="H667" s="31">
        <v>0</v>
      </c>
      <c r="I667" s="31">
        <v>0</v>
      </c>
      <c r="J667" s="47" t="s">
        <v>663</v>
      </c>
      <c r="K667" s="32">
        <v>0</v>
      </c>
      <c r="L667" s="32">
        <v>1</v>
      </c>
      <c r="M667" s="31">
        <v>-0.50000000052480864</v>
      </c>
      <c r="N667" s="31">
        <v>0</v>
      </c>
      <c r="O667" s="31">
        <v>0</v>
      </c>
      <c r="P667" s="31">
        <v>0</v>
      </c>
      <c r="Q667" s="31">
        <v>0</v>
      </c>
      <c r="R667" s="31">
        <v>0</v>
      </c>
      <c r="S667" s="31">
        <v>0</v>
      </c>
      <c r="T667" s="31" t="s">
        <v>46</v>
      </c>
      <c r="U667" s="31" t="s">
        <v>46</v>
      </c>
    </row>
    <row r="668" spans="1:21" x14ac:dyDescent="0.2">
      <c r="A668" s="31">
        <v>1.1404850957724129</v>
      </c>
      <c r="B668" s="46" t="s">
        <v>664</v>
      </c>
      <c r="C668" s="32">
        <v>0</v>
      </c>
      <c r="D668" s="32">
        <v>1</v>
      </c>
      <c r="E668" s="31">
        <v>0.50000000052480864</v>
      </c>
      <c r="F668" s="31">
        <v>0</v>
      </c>
      <c r="G668" s="31">
        <v>0</v>
      </c>
      <c r="H668" s="31">
        <v>0</v>
      </c>
      <c r="I668" s="31">
        <v>0</v>
      </c>
      <c r="J668" s="47" t="s">
        <v>665</v>
      </c>
      <c r="K668" s="32">
        <v>0</v>
      </c>
      <c r="L668" s="32">
        <v>1</v>
      </c>
      <c r="M668" s="31">
        <v>-0.50000000052480864</v>
      </c>
      <c r="N668" s="31">
        <v>0</v>
      </c>
      <c r="O668" s="31">
        <v>0</v>
      </c>
      <c r="P668" s="31">
        <v>0</v>
      </c>
      <c r="Q668" s="31">
        <v>0</v>
      </c>
      <c r="R668" s="31">
        <v>0</v>
      </c>
      <c r="S668" s="31">
        <v>0</v>
      </c>
      <c r="T668" s="31" t="s">
        <v>46</v>
      </c>
      <c r="U668" s="31" t="s">
        <v>46</v>
      </c>
    </row>
    <row r="669" spans="1:21" x14ac:dyDescent="0.2">
      <c r="A669" s="31">
        <v>1.1475688541312479</v>
      </c>
      <c r="B669" s="46" t="s">
        <v>666</v>
      </c>
      <c r="C669" s="32">
        <v>0</v>
      </c>
      <c r="D669" s="32">
        <v>1</v>
      </c>
      <c r="E669" s="31">
        <v>0.50000000052480864</v>
      </c>
      <c r="F669" s="31">
        <v>0</v>
      </c>
      <c r="G669" s="31">
        <v>0</v>
      </c>
      <c r="H669" s="31">
        <v>0</v>
      </c>
      <c r="I669" s="31">
        <v>0</v>
      </c>
      <c r="J669" s="47" t="s">
        <v>667</v>
      </c>
      <c r="K669" s="32">
        <v>0</v>
      </c>
      <c r="L669" s="32">
        <v>1</v>
      </c>
      <c r="M669" s="31">
        <v>-0.50000000052480864</v>
      </c>
      <c r="N669" s="31">
        <v>0</v>
      </c>
      <c r="O669" s="31">
        <v>0</v>
      </c>
      <c r="P669" s="31">
        <v>0</v>
      </c>
      <c r="Q669" s="31">
        <v>0</v>
      </c>
      <c r="R669" s="31">
        <v>0</v>
      </c>
      <c r="S669" s="31">
        <v>0</v>
      </c>
      <c r="T669" s="31" t="s">
        <v>46</v>
      </c>
      <c r="U669" s="31" t="s">
        <v>46</v>
      </c>
    </row>
    <row r="670" spans="1:21" x14ac:dyDescent="0.2">
      <c r="A670" s="31">
        <v>1.1546526124900827</v>
      </c>
      <c r="B670" s="46" t="s">
        <v>668</v>
      </c>
      <c r="C670" s="32">
        <v>0</v>
      </c>
      <c r="D670" s="32">
        <v>1</v>
      </c>
      <c r="E670" s="31">
        <v>0.50000000052480864</v>
      </c>
      <c r="F670" s="31">
        <v>0</v>
      </c>
      <c r="G670" s="31">
        <v>0</v>
      </c>
      <c r="H670" s="31">
        <v>0</v>
      </c>
      <c r="I670" s="31">
        <v>0</v>
      </c>
      <c r="J670" s="47" t="s">
        <v>669</v>
      </c>
      <c r="K670" s="32">
        <v>0</v>
      </c>
      <c r="L670" s="32">
        <v>1</v>
      </c>
      <c r="M670" s="31">
        <v>-0.50000000052480864</v>
      </c>
      <c r="N670" s="31">
        <v>0</v>
      </c>
      <c r="O670" s="31">
        <v>0</v>
      </c>
      <c r="P670" s="31">
        <v>0</v>
      </c>
      <c r="Q670" s="31">
        <v>0</v>
      </c>
      <c r="R670" s="31">
        <v>0</v>
      </c>
      <c r="S670" s="31">
        <v>0</v>
      </c>
      <c r="T670" s="31" t="s">
        <v>46</v>
      </c>
      <c r="U670" s="31" t="s">
        <v>46</v>
      </c>
    </row>
    <row r="671" spans="1:21" x14ac:dyDescent="0.2">
      <c r="A671" s="31">
        <v>1.1617363708489175</v>
      </c>
      <c r="B671" s="46" t="s">
        <v>670</v>
      </c>
      <c r="C671" s="32">
        <v>0</v>
      </c>
      <c r="D671" s="32">
        <v>1</v>
      </c>
      <c r="E671" s="31">
        <v>0.50000000052480864</v>
      </c>
      <c r="F671" s="31">
        <v>0</v>
      </c>
      <c r="G671" s="31">
        <v>0</v>
      </c>
      <c r="H671" s="31">
        <v>0</v>
      </c>
      <c r="I671" s="31">
        <v>0</v>
      </c>
      <c r="J671" s="47" t="s">
        <v>671</v>
      </c>
      <c r="K671" s="32">
        <v>0</v>
      </c>
      <c r="L671" s="32">
        <v>1</v>
      </c>
      <c r="M671" s="31">
        <v>-0.50000000052480864</v>
      </c>
      <c r="N671" s="31">
        <v>0</v>
      </c>
      <c r="O671" s="31">
        <v>0</v>
      </c>
      <c r="P671" s="31">
        <v>0</v>
      </c>
      <c r="Q671" s="31">
        <v>0</v>
      </c>
      <c r="R671" s="31">
        <v>0</v>
      </c>
      <c r="S671" s="31">
        <v>0</v>
      </c>
      <c r="T671" s="31" t="s">
        <v>46</v>
      </c>
      <c r="U671" s="31" t="s">
        <v>46</v>
      </c>
    </row>
    <row r="672" spans="1:21" x14ac:dyDescent="0.2">
      <c r="A672" s="31">
        <v>1.1900714042842571</v>
      </c>
      <c r="B672" s="46" t="s">
        <v>672</v>
      </c>
      <c r="C672" s="32">
        <v>0</v>
      </c>
      <c r="D672" s="32">
        <v>1</v>
      </c>
      <c r="E672" s="31">
        <v>0.50000000052480864</v>
      </c>
      <c r="F672" s="31">
        <v>0</v>
      </c>
      <c r="G672" s="31">
        <v>0</v>
      </c>
      <c r="H672" s="31">
        <v>0</v>
      </c>
      <c r="I672" s="31">
        <v>0</v>
      </c>
      <c r="J672" s="47" t="s">
        <v>673</v>
      </c>
      <c r="K672" s="32">
        <v>0</v>
      </c>
      <c r="L672" s="32">
        <v>1</v>
      </c>
      <c r="M672" s="31">
        <v>-0.50000000052480864</v>
      </c>
      <c r="N672" s="31">
        <v>0</v>
      </c>
      <c r="O672" s="31">
        <v>0</v>
      </c>
      <c r="P672" s="31">
        <v>0</v>
      </c>
      <c r="Q672" s="31">
        <v>0</v>
      </c>
      <c r="R672" s="31">
        <v>0</v>
      </c>
      <c r="S672" s="31">
        <v>0</v>
      </c>
      <c r="T672" s="31" t="s">
        <v>46</v>
      </c>
      <c r="U672" s="31" t="s">
        <v>46</v>
      </c>
    </row>
    <row r="673" spans="1:21" x14ac:dyDescent="0.2">
      <c r="A673" s="31">
        <v>1.2184064377195964</v>
      </c>
      <c r="B673" s="46" t="s">
        <v>674</v>
      </c>
      <c r="C673" s="32">
        <v>0</v>
      </c>
      <c r="D673" s="32">
        <v>1</v>
      </c>
      <c r="E673" s="31">
        <v>0.50000000052480864</v>
      </c>
      <c r="F673" s="31">
        <v>0</v>
      </c>
      <c r="G673" s="31">
        <v>0</v>
      </c>
      <c r="H673" s="31">
        <v>0</v>
      </c>
      <c r="I673" s="31">
        <v>0</v>
      </c>
      <c r="J673" s="47" t="s">
        <v>675</v>
      </c>
      <c r="K673" s="32">
        <v>0</v>
      </c>
      <c r="L673" s="32">
        <v>1</v>
      </c>
      <c r="M673" s="31">
        <v>-0.50000000052480864</v>
      </c>
      <c r="N673" s="31">
        <v>0</v>
      </c>
      <c r="O673" s="31">
        <v>0</v>
      </c>
      <c r="P673" s="31">
        <v>0</v>
      </c>
      <c r="Q673" s="31">
        <v>0</v>
      </c>
      <c r="R673" s="31">
        <v>0</v>
      </c>
      <c r="S673" s="31">
        <v>0</v>
      </c>
      <c r="T673" s="31" t="s">
        <v>46</v>
      </c>
      <c r="U673" s="31" t="s">
        <v>46</v>
      </c>
    </row>
    <row r="674" spans="1:21" x14ac:dyDescent="0.2">
      <c r="A674" s="31">
        <v>1.2467414711549358</v>
      </c>
      <c r="B674" s="46" t="s">
        <v>676</v>
      </c>
      <c r="C674" s="32">
        <v>0</v>
      </c>
      <c r="D674" s="32">
        <v>1</v>
      </c>
      <c r="E674" s="31">
        <v>0.50000000052480864</v>
      </c>
      <c r="F674" s="31">
        <v>0</v>
      </c>
      <c r="G674" s="31">
        <v>0</v>
      </c>
      <c r="H674" s="31">
        <v>0</v>
      </c>
      <c r="I674" s="31">
        <v>0</v>
      </c>
      <c r="J674" s="47" t="s">
        <v>677</v>
      </c>
      <c r="K674" s="32">
        <v>0</v>
      </c>
      <c r="L674" s="32">
        <v>1</v>
      </c>
      <c r="M674" s="31">
        <v>-0.50000000052480864</v>
      </c>
      <c r="N674" s="31">
        <v>0</v>
      </c>
      <c r="O674" s="31">
        <v>0</v>
      </c>
      <c r="P674" s="31">
        <v>0</v>
      </c>
      <c r="Q674" s="31">
        <v>0</v>
      </c>
      <c r="R674" s="31">
        <v>0</v>
      </c>
      <c r="S674" s="31">
        <v>0</v>
      </c>
      <c r="T674" s="31" t="s">
        <v>46</v>
      </c>
      <c r="U674" s="31" t="s">
        <v>46</v>
      </c>
    </row>
    <row r="675" spans="1:21" x14ac:dyDescent="0.2">
      <c r="A675" s="31">
        <v>1.2750765045902754</v>
      </c>
      <c r="B675" s="46" t="s">
        <v>678</v>
      </c>
      <c r="C675" s="32">
        <v>0</v>
      </c>
      <c r="D675" s="32">
        <v>1</v>
      </c>
      <c r="E675" s="31">
        <v>0.50000000052480864</v>
      </c>
      <c r="F675" s="31">
        <v>0</v>
      </c>
      <c r="G675" s="31">
        <v>0</v>
      </c>
      <c r="H675" s="31">
        <v>0</v>
      </c>
      <c r="I675" s="31">
        <v>0</v>
      </c>
      <c r="J675" s="47" t="s">
        <v>679</v>
      </c>
      <c r="K675" s="32">
        <v>0</v>
      </c>
      <c r="L675" s="32">
        <v>1</v>
      </c>
      <c r="M675" s="31">
        <v>-0.50000000052480864</v>
      </c>
      <c r="N675" s="31">
        <v>0</v>
      </c>
      <c r="O675" s="31">
        <v>0</v>
      </c>
      <c r="P675" s="31">
        <v>0</v>
      </c>
      <c r="Q675" s="31">
        <v>0</v>
      </c>
      <c r="R675" s="31">
        <v>0</v>
      </c>
      <c r="S675" s="31">
        <v>0</v>
      </c>
      <c r="T675" s="31" t="s">
        <v>46</v>
      </c>
      <c r="U675" s="31" t="s">
        <v>46</v>
      </c>
    </row>
    <row r="676" spans="1:21" x14ac:dyDescent="0.2">
      <c r="A676" s="31">
        <v>1.3034115380256148</v>
      </c>
      <c r="B676" s="46" t="s">
        <v>680</v>
      </c>
      <c r="C676" s="32">
        <v>0</v>
      </c>
      <c r="D676" s="32">
        <v>1</v>
      </c>
      <c r="E676" s="31">
        <v>0.50000000052480864</v>
      </c>
      <c r="F676" s="31">
        <v>0</v>
      </c>
      <c r="G676" s="31">
        <v>0</v>
      </c>
      <c r="H676" s="31">
        <v>0</v>
      </c>
      <c r="I676" s="31">
        <v>0</v>
      </c>
      <c r="J676" s="47" t="s">
        <v>681</v>
      </c>
      <c r="K676" s="32">
        <v>0</v>
      </c>
      <c r="L676" s="32">
        <v>1</v>
      </c>
      <c r="M676" s="31">
        <v>-0.50000000052480864</v>
      </c>
      <c r="N676" s="31">
        <v>0</v>
      </c>
      <c r="O676" s="31">
        <v>0</v>
      </c>
      <c r="P676" s="31">
        <v>0</v>
      </c>
      <c r="Q676" s="31">
        <v>0</v>
      </c>
      <c r="R676" s="31">
        <v>0</v>
      </c>
      <c r="S676" s="31">
        <v>0</v>
      </c>
      <c r="T676" s="31" t="s">
        <v>46</v>
      </c>
      <c r="U676" s="31" t="s">
        <v>46</v>
      </c>
    </row>
    <row r="677" spans="1:21" x14ac:dyDescent="0.2">
      <c r="A677" s="31">
        <v>1.3317465714609542</v>
      </c>
      <c r="B677" s="46" t="s">
        <v>682</v>
      </c>
      <c r="C677" s="32">
        <v>3.0000499999999999</v>
      </c>
      <c r="D677" s="32">
        <v>1</v>
      </c>
      <c r="E677" s="31">
        <v>0.50000000052480864</v>
      </c>
      <c r="F677" s="31">
        <v>0</v>
      </c>
      <c r="G677" s="31">
        <v>0</v>
      </c>
      <c r="H677" s="31">
        <v>0</v>
      </c>
      <c r="I677" s="31">
        <v>0</v>
      </c>
      <c r="J677" s="47" t="s">
        <v>683</v>
      </c>
      <c r="K677" s="32">
        <v>0</v>
      </c>
      <c r="L677" s="32">
        <v>1</v>
      </c>
      <c r="M677" s="31">
        <v>-0.50000000052480864</v>
      </c>
      <c r="N677" s="31">
        <v>0</v>
      </c>
      <c r="O677" s="31">
        <v>0</v>
      </c>
      <c r="P677" s="31">
        <v>0</v>
      </c>
      <c r="Q677" s="31">
        <v>0</v>
      </c>
      <c r="R677" s="31">
        <v>0</v>
      </c>
      <c r="S677" s="31">
        <v>0</v>
      </c>
      <c r="T677" s="31" t="s">
        <v>46</v>
      </c>
      <c r="U677" s="31" t="s">
        <v>46</v>
      </c>
    </row>
    <row r="678" spans="1:21" x14ac:dyDescent="0.2">
      <c r="A678" s="31">
        <v>1.3600816048962938</v>
      </c>
      <c r="B678" s="46" t="s">
        <v>684</v>
      </c>
      <c r="C678" s="32">
        <v>3.0000499999999999</v>
      </c>
      <c r="D678" s="32">
        <v>1</v>
      </c>
      <c r="E678" s="31">
        <v>0.50000000052480864</v>
      </c>
      <c r="F678" s="31">
        <v>0</v>
      </c>
      <c r="G678" s="31">
        <v>0</v>
      </c>
      <c r="H678" s="31">
        <v>0</v>
      </c>
      <c r="I678" s="31">
        <v>0</v>
      </c>
      <c r="J678" s="47" t="s">
        <v>685</v>
      </c>
      <c r="K678" s="32">
        <v>0</v>
      </c>
      <c r="L678" s="32">
        <v>1</v>
      </c>
      <c r="M678" s="31">
        <v>-0.50000000052480864</v>
      </c>
      <c r="N678" s="31">
        <v>0</v>
      </c>
      <c r="O678" s="31">
        <v>0</v>
      </c>
      <c r="P678" s="31">
        <v>0</v>
      </c>
      <c r="Q678" s="31">
        <v>0</v>
      </c>
      <c r="R678" s="31">
        <v>0</v>
      </c>
      <c r="S678" s="31">
        <v>0</v>
      </c>
      <c r="T678" s="31" t="s">
        <v>46</v>
      </c>
      <c r="U678" s="31" t="s">
        <v>46</v>
      </c>
    </row>
    <row r="679" spans="1:21" x14ac:dyDescent="0.2">
      <c r="A679" s="31">
        <v>1.3884166383316332</v>
      </c>
      <c r="B679" s="46" t="s">
        <v>686</v>
      </c>
      <c r="C679" s="32">
        <v>3.0000499999999999</v>
      </c>
      <c r="D679" s="32">
        <v>1</v>
      </c>
      <c r="E679" s="31">
        <v>0.50000000052480864</v>
      </c>
      <c r="F679" s="31">
        <v>0</v>
      </c>
      <c r="G679" s="31">
        <v>0</v>
      </c>
      <c r="H679" s="31">
        <v>0</v>
      </c>
      <c r="I679" s="31">
        <v>0</v>
      </c>
      <c r="J679" s="47" t="s">
        <v>687</v>
      </c>
      <c r="K679" s="32">
        <v>0</v>
      </c>
      <c r="L679" s="32">
        <v>1</v>
      </c>
      <c r="M679" s="31">
        <v>-0.50000000052480864</v>
      </c>
      <c r="N679" s="31">
        <v>0</v>
      </c>
      <c r="O679" s="31">
        <v>0</v>
      </c>
      <c r="P679" s="31">
        <v>0</v>
      </c>
      <c r="Q679" s="31">
        <v>0</v>
      </c>
      <c r="R679" s="31">
        <v>0</v>
      </c>
      <c r="S679" s="31">
        <v>0</v>
      </c>
      <c r="T679" s="31" t="s">
        <v>46</v>
      </c>
      <c r="U679" s="31" t="s">
        <v>46</v>
      </c>
    </row>
    <row r="680" spans="1:21" x14ac:dyDescent="0.2">
      <c r="A680" s="31">
        <v>1.4167516717669726</v>
      </c>
      <c r="B680" s="46" t="s">
        <v>688</v>
      </c>
      <c r="C680" s="32">
        <v>3.0000499999999999</v>
      </c>
      <c r="D680" s="32">
        <v>1</v>
      </c>
      <c r="E680" s="31">
        <v>0.50000000052480864</v>
      </c>
      <c r="F680" s="31">
        <v>0</v>
      </c>
      <c r="G680" s="31">
        <v>0</v>
      </c>
      <c r="H680" s="31">
        <v>0</v>
      </c>
      <c r="I680" s="31">
        <v>0</v>
      </c>
      <c r="J680" s="47" t="s">
        <v>689</v>
      </c>
      <c r="K680" s="32">
        <v>0</v>
      </c>
      <c r="L680" s="32">
        <v>1</v>
      </c>
      <c r="M680" s="31">
        <v>-0.50000000052480864</v>
      </c>
      <c r="N680" s="31">
        <v>0</v>
      </c>
      <c r="O680" s="31">
        <v>0</v>
      </c>
      <c r="P680" s="31">
        <v>0</v>
      </c>
      <c r="Q680" s="31">
        <v>0</v>
      </c>
      <c r="R680" s="31">
        <v>0</v>
      </c>
      <c r="S680" s="31">
        <v>0</v>
      </c>
      <c r="T680" s="31" t="s">
        <v>46</v>
      </c>
      <c r="U680" s="31" t="s">
        <v>46</v>
      </c>
    </row>
    <row r="681" spans="1:21" x14ac:dyDescent="0.2">
      <c r="A681" s="31">
        <v>1.445086705202312</v>
      </c>
      <c r="B681" s="46" t="s">
        <v>690</v>
      </c>
      <c r="C681" s="32">
        <v>3.0000499999999999</v>
      </c>
      <c r="D681" s="32">
        <v>1</v>
      </c>
      <c r="E681" s="31">
        <v>0.50000000052480864</v>
      </c>
      <c r="F681" s="31">
        <v>0</v>
      </c>
      <c r="G681" s="31">
        <v>0</v>
      </c>
      <c r="H681" s="31">
        <v>0</v>
      </c>
      <c r="I681" s="31">
        <v>0</v>
      </c>
      <c r="J681" s="47" t="s">
        <v>691</v>
      </c>
      <c r="K681" s="32">
        <v>0</v>
      </c>
      <c r="L681" s="32">
        <v>1</v>
      </c>
      <c r="M681" s="31">
        <v>-0.50000000052480864</v>
      </c>
      <c r="N681" s="31">
        <v>0</v>
      </c>
      <c r="O681" s="31">
        <v>0</v>
      </c>
      <c r="P681" s="31">
        <v>0</v>
      </c>
      <c r="Q681" s="31">
        <v>0</v>
      </c>
      <c r="R681" s="31">
        <v>0</v>
      </c>
      <c r="S681" s="31">
        <v>0</v>
      </c>
      <c r="T681" s="31" t="s">
        <v>46</v>
      </c>
      <c r="U681" s="31" t="s">
        <v>46</v>
      </c>
    </row>
    <row r="682" spans="1:21" x14ac:dyDescent="0.2">
      <c r="A682" s="31">
        <v>1.4734217386376516</v>
      </c>
      <c r="B682" s="46" t="s">
        <v>692</v>
      </c>
      <c r="C682" s="32">
        <v>3.0000499999999999</v>
      </c>
      <c r="D682" s="32">
        <v>1</v>
      </c>
      <c r="E682" s="31">
        <v>0.50000000052480864</v>
      </c>
      <c r="F682" s="31">
        <v>0</v>
      </c>
      <c r="G682" s="31">
        <v>0</v>
      </c>
      <c r="H682" s="31">
        <v>0</v>
      </c>
      <c r="I682" s="31">
        <v>0</v>
      </c>
      <c r="J682" s="47" t="s">
        <v>693</v>
      </c>
      <c r="K682" s="32">
        <v>0</v>
      </c>
      <c r="L682" s="32">
        <v>1</v>
      </c>
      <c r="M682" s="31">
        <v>-0.50000000052480864</v>
      </c>
      <c r="N682" s="31">
        <v>0</v>
      </c>
      <c r="O682" s="31">
        <v>0</v>
      </c>
      <c r="P682" s="31">
        <v>0</v>
      </c>
      <c r="Q682" s="31">
        <v>0</v>
      </c>
      <c r="R682" s="31">
        <v>0</v>
      </c>
      <c r="S682" s="31">
        <v>0</v>
      </c>
      <c r="T682" s="31" t="s">
        <v>46</v>
      </c>
      <c r="U682" s="31" t="s">
        <v>46</v>
      </c>
    </row>
    <row r="683" spans="1:21" x14ac:dyDescent="0.2">
      <c r="A683" s="31">
        <v>0.68004080244814691</v>
      </c>
      <c r="B683" s="46" t="s">
        <v>694</v>
      </c>
      <c r="C683" s="32">
        <v>0</v>
      </c>
      <c r="D683" s="32">
        <v>1</v>
      </c>
      <c r="E683" s="31">
        <v>0.50000000052480864</v>
      </c>
      <c r="F683" s="31">
        <v>0</v>
      </c>
      <c r="G683" s="31">
        <v>0</v>
      </c>
      <c r="H683" s="31">
        <v>0</v>
      </c>
      <c r="I683" s="31">
        <v>0</v>
      </c>
      <c r="J683" s="47" t="s">
        <v>695</v>
      </c>
      <c r="K683" s="32">
        <v>0</v>
      </c>
      <c r="L683" s="32">
        <v>1</v>
      </c>
      <c r="M683" s="31">
        <v>-0.50000000052480864</v>
      </c>
      <c r="N683" s="31">
        <v>0</v>
      </c>
      <c r="O683" s="31">
        <v>0</v>
      </c>
      <c r="P683" s="31">
        <v>0</v>
      </c>
      <c r="Q683" s="31">
        <v>0</v>
      </c>
      <c r="R683" s="31">
        <v>0</v>
      </c>
      <c r="S683" s="31">
        <v>0</v>
      </c>
      <c r="T683" s="31" t="s">
        <v>46</v>
      </c>
      <c r="U683" s="31" t="s">
        <v>46</v>
      </c>
    </row>
    <row r="684" spans="1:21" x14ac:dyDescent="0.2">
      <c r="A684" s="31">
        <v>0.6942083191658166</v>
      </c>
      <c r="B684" s="46" t="s">
        <v>696</v>
      </c>
      <c r="C684" s="32">
        <v>3.0000499999999999</v>
      </c>
      <c r="D684" s="32">
        <v>1</v>
      </c>
      <c r="E684" s="31">
        <v>0.50000000052480864</v>
      </c>
      <c r="F684" s="31">
        <v>0</v>
      </c>
      <c r="G684" s="31">
        <v>0</v>
      </c>
      <c r="H684" s="31">
        <v>0</v>
      </c>
      <c r="I684" s="31">
        <v>0</v>
      </c>
      <c r="J684" s="47" t="s">
        <v>697</v>
      </c>
      <c r="K684" s="32">
        <v>0</v>
      </c>
      <c r="L684" s="32">
        <v>1</v>
      </c>
      <c r="M684" s="31">
        <v>-0.50000000052480864</v>
      </c>
      <c r="N684" s="31">
        <v>0</v>
      </c>
      <c r="O684" s="31">
        <v>0</v>
      </c>
      <c r="P684" s="31">
        <v>0</v>
      </c>
      <c r="Q684" s="31">
        <v>0</v>
      </c>
      <c r="R684" s="31">
        <v>0</v>
      </c>
      <c r="S684" s="31">
        <v>0</v>
      </c>
      <c r="T684" s="31" t="s">
        <v>47</v>
      </c>
      <c r="U684" s="31" t="s">
        <v>46</v>
      </c>
    </row>
    <row r="685" spans="1:21" x14ac:dyDescent="0.2">
      <c r="A685" s="31">
        <v>0.70837583588348629</v>
      </c>
      <c r="B685" s="46" t="s">
        <v>698</v>
      </c>
      <c r="C685" s="32">
        <v>3.0000499999999999</v>
      </c>
      <c r="D685" s="32">
        <v>1</v>
      </c>
      <c r="E685" s="31">
        <v>0.50000000052480864</v>
      </c>
      <c r="F685" s="31">
        <v>0</v>
      </c>
      <c r="G685" s="31">
        <v>0</v>
      </c>
      <c r="H685" s="31">
        <v>0</v>
      </c>
      <c r="I685" s="31">
        <v>0</v>
      </c>
      <c r="J685" s="47" t="s">
        <v>699</v>
      </c>
      <c r="K685" s="32">
        <v>0</v>
      </c>
      <c r="L685" s="32">
        <v>1</v>
      </c>
      <c r="M685" s="31">
        <v>-0.50000000052480864</v>
      </c>
      <c r="N685" s="31">
        <v>0</v>
      </c>
      <c r="O685" s="31">
        <v>0</v>
      </c>
      <c r="P685" s="31">
        <v>0</v>
      </c>
      <c r="Q685" s="31">
        <v>0</v>
      </c>
      <c r="R685" s="31">
        <v>0</v>
      </c>
      <c r="S685" s="31">
        <v>0</v>
      </c>
      <c r="T685" s="31" t="s">
        <v>47</v>
      </c>
      <c r="U685" s="31" t="s">
        <v>46</v>
      </c>
    </row>
    <row r="686" spans="1:21" x14ac:dyDescent="0.2">
      <c r="A686" s="31">
        <v>0.73671086931882579</v>
      </c>
      <c r="B686" s="46" t="s">
        <v>700</v>
      </c>
      <c r="C686" s="32">
        <v>3.0000499999999999</v>
      </c>
      <c r="D686" s="32">
        <v>1</v>
      </c>
      <c r="E686" s="31">
        <v>0.50000000052480864</v>
      </c>
      <c r="F686" s="31">
        <v>0</v>
      </c>
      <c r="G686" s="31">
        <v>0</v>
      </c>
      <c r="H686" s="31">
        <v>0</v>
      </c>
      <c r="I686" s="31">
        <v>0</v>
      </c>
      <c r="J686" s="47" t="s">
        <v>701</v>
      </c>
      <c r="K686" s="32">
        <v>0</v>
      </c>
      <c r="L686" s="32">
        <v>1</v>
      </c>
      <c r="M686" s="31">
        <v>-0.50000000052480864</v>
      </c>
      <c r="N686" s="31">
        <v>0</v>
      </c>
      <c r="O686" s="31">
        <v>0</v>
      </c>
      <c r="P686" s="31">
        <v>0</v>
      </c>
      <c r="Q686" s="31">
        <v>0</v>
      </c>
      <c r="R686" s="31">
        <v>0</v>
      </c>
      <c r="S686" s="31">
        <v>0</v>
      </c>
      <c r="T686" s="31" t="s">
        <v>47</v>
      </c>
      <c r="U686" s="31" t="s">
        <v>46</v>
      </c>
    </row>
    <row r="687" spans="1:21" x14ac:dyDescent="0.2">
      <c r="A687" s="31">
        <v>0.76504590275416517</v>
      </c>
      <c r="B687" s="46" t="s">
        <v>702</v>
      </c>
      <c r="C687" s="32">
        <v>0</v>
      </c>
      <c r="D687" s="32">
        <v>1</v>
      </c>
      <c r="E687" s="31">
        <v>0.50000000052480864</v>
      </c>
      <c r="F687" s="31">
        <v>0</v>
      </c>
      <c r="G687" s="31">
        <v>0</v>
      </c>
      <c r="H687" s="31">
        <v>0</v>
      </c>
      <c r="I687" s="31">
        <v>0</v>
      </c>
      <c r="J687" s="47" t="s">
        <v>703</v>
      </c>
      <c r="K687" s="32">
        <v>0</v>
      </c>
      <c r="L687" s="32">
        <v>1</v>
      </c>
      <c r="M687" s="31">
        <v>-0.50000000052480864</v>
      </c>
      <c r="N687" s="31">
        <v>0</v>
      </c>
      <c r="O687" s="31">
        <v>0</v>
      </c>
      <c r="P687" s="31">
        <v>0</v>
      </c>
      <c r="Q687" s="31">
        <v>0</v>
      </c>
      <c r="R687" s="31">
        <v>0</v>
      </c>
      <c r="S687" s="31">
        <v>0</v>
      </c>
      <c r="T687" s="31" t="s">
        <v>46</v>
      </c>
      <c r="U687" s="31" t="s">
        <v>46</v>
      </c>
    </row>
    <row r="688" spans="1:21" x14ac:dyDescent="0.2">
      <c r="A688" s="31">
        <v>0.79338093618950467</v>
      </c>
      <c r="B688" s="46" t="s">
        <v>704</v>
      </c>
      <c r="C688" s="32">
        <v>0</v>
      </c>
      <c r="D688" s="32">
        <v>1</v>
      </c>
      <c r="E688" s="31">
        <v>0.50000000052480864</v>
      </c>
      <c r="F688" s="31">
        <v>0</v>
      </c>
      <c r="G688" s="31">
        <v>0</v>
      </c>
      <c r="H688" s="31">
        <v>0</v>
      </c>
      <c r="I688" s="31">
        <v>0</v>
      </c>
      <c r="J688" s="47" t="s">
        <v>705</v>
      </c>
      <c r="K688" s="32">
        <v>0</v>
      </c>
      <c r="L688" s="32">
        <v>1</v>
      </c>
      <c r="M688" s="31">
        <v>-0.50000000052480864</v>
      </c>
      <c r="N688" s="31">
        <v>0</v>
      </c>
      <c r="O688" s="31">
        <v>0</v>
      </c>
      <c r="P688" s="31">
        <v>0</v>
      </c>
      <c r="Q688" s="31">
        <v>0</v>
      </c>
      <c r="R688" s="31">
        <v>0</v>
      </c>
      <c r="S688" s="31">
        <v>0</v>
      </c>
      <c r="T688" s="31" t="s">
        <v>46</v>
      </c>
      <c r="U688" s="31" t="s">
        <v>46</v>
      </c>
    </row>
    <row r="689" spans="1:21" x14ac:dyDescent="0.2">
      <c r="A689" s="31">
        <v>0.82171596962484417</v>
      </c>
      <c r="B689" s="46" t="s">
        <v>706</v>
      </c>
      <c r="C689" s="32">
        <v>0</v>
      </c>
      <c r="D689" s="32">
        <v>1</v>
      </c>
      <c r="E689" s="31">
        <v>0.50000000052480864</v>
      </c>
      <c r="F689" s="31">
        <v>0</v>
      </c>
      <c r="G689" s="31">
        <v>0</v>
      </c>
      <c r="H689" s="31">
        <v>0</v>
      </c>
      <c r="I689" s="31">
        <v>0</v>
      </c>
      <c r="J689" s="47" t="s">
        <v>707</v>
      </c>
      <c r="K689" s="32">
        <v>0</v>
      </c>
      <c r="L689" s="32">
        <v>1</v>
      </c>
      <c r="M689" s="31">
        <v>-0.50000000052480864</v>
      </c>
      <c r="N689" s="31">
        <v>0</v>
      </c>
      <c r="O689" s="31">
        <v>0</v>
      </c>
      <c r="P689" s="31">
        <v>0</v>
      </c>
      <c r="Q689" s="31">
        <v>0</v>
      </c>
      <c r="R689" s="31">
        <v>0</v>
      </c>
      <c r="S689" s="31">
        <v>0</v>
      </c>
      <c r="T689" s="31" t="s">
        <v>46</v>
      </c>
      <c r="U689" s="31" t="s">
        <v>46</v>
      </c>
    </row>
    <row r="690" spans="1:21" x14ac:dyDescent="0.2">
      <c r="A690" s="31">
        <v>0.85005100306018355</v>
      </c>
      <c r="B690" s="46" t="s">
        <v>708</v>
      </c>
      <c r="C690" s="32">
        <v>0</v>
      </c>
      <c r="D690" s="32">
        <v>1</v>
      </c>
      <c r="E690" s="31">
        <v>0.50000000052480864</v>
      </c>
      <c r="F690" s="31">
        <v>0</v>
      </c>
      <c r="G690" s="31">
        <v>0</v>
      </c>
      <c r="H690" s="31">
        <v>0</v>
      </c>
      <c r="I690" s="31">
        <v>0</v>
      </c>
      <c r="J690" s="47" t="s">
        <v>709</v>
      </c>
      <c r="K690" s="32">
        <v>0</v>
      </c>
      <c r="L690" s="32">
        <v>1</v>
      </c>
      <c r="M690" s="31">
        <v>-0.50000000052480864</v>
      </c>
      <c r="N690" s="31">
        <v>0</v>
      </c>
      <c r="O690" s="31">
        <v>0</v>
      </c>
      <c r="P690" s="31">
        <v>0</v>
      </c>
      <c r="Q690" s="31">
        <v>0</v>
      </c>
      <c r="R690" s="31">
        <v>0</v>
      </c>
      <c r="S690" s="31">
        <v>0</v>
      </c>
      <c r="T690" s="31" t="s">
        <v>46</v>
      </c>
      <c r="U690" s="31" t="s">
        <v>46</v>
      </c>
    </row>
    <row r="691" spans="1:21" x14ac:dyDescent="0.2">
      <c r="A691" s="31">
        <v>0.87838603649552305</v>
      </c>
      <c r="B691" s="46" t="s">
        <v>710</v>
      </c>
      <c r="C691" s="32">
        <v>0</v>
      </c>
      <c r="D691" s="32">
        <v>1</v>
      </c>
      <c r="E691" s="31">
        <v>0.50000000052480864</v>
      </c>
      <c r="F691" s="31">
        <v>0</v>
      </c>
      <c r="G691" s="31">
        <v>0</v>
      </c>
      <c r="H691" s="31">
        <v>0</v>
      </c>
      <c r="I691" s="48">
        <v>0</v>
      </c>
      <c r="J691" s="47" t="s">
        <v>711</v>
      </c>
      <c r="K691" s="32">
        <v>0</v>
      </c>
      <c r="L691" s="32">
        <v>1</v>
      </c>
      <c r="M691" s="31">
        <v>-0.50000000052480864</v>
      </c>
      <c r="N691" s="31">
        <v>0</v>
      </c>
      <c r="O691" s="31">
        <v>0</v>
      </c>
      <c r="P691" s="31">
        <v>0</v>
      </c>
      <c r="Q691" s="31">
        <v>0</v>
      </c>
      <c r="R691" s="31">
        <v>0</v>
      </c>
      <c r="S691" s="31">
        <v>0</v>
      </c>
      <c r="T691" s="31" t="s">
        <v>46</v>
      </c>
      <c r="U691" s="31" t="s">
        <v>46</v>
      </c>
    </row>
    <row r="692" spans="1:21" x14ac:dyDescent="0.2">
      <c r="A692" s="31">
        <v>0.90672106993086243</v>
      </c>
      <c r="B692" s="46" t="s">
        <v>712</v>
      </c>
      <c r="C692" s="32">
        <v>0</v>
      </c>
      <c r="D692" s="32">
        <v>1</v>
      </c>
      <c r="E692" s="31">
        <v>0.50000000052480864</v>
      </c>
      <c r="F692" s="31">
        <v>0</v>
      </c>
      <c r="G692" s="31">
        <v>0</v>
      </c>
      <c r="H692" s="31">
        <v>0</v>
      </c>
      <c r="I692" s="48">
        <v>0</v>
      </c>
      <c r="J692" s="47" t="s">
        <v>713</v>
      </c>
      <c r="K692" s="32">
        <v>0</v>
      </c>
      <c r="L692" s="32">
        <v>1</v>
      </c>
      <c r="M692" s="31">
        <v>-0.50000000052480864</v>
      </c>
      <c r="N692" s="31">
        <v>0</v>
      </c>
      <c r="O692" s="31">
        <v>0</v>
      </c>
      <c r="P692" s="31">
        <v>0</v>
      </c>
      <c r="Q692" s="31">
        <v>0</v>
      </c>
      <c r="R692" s="31">
        <v>0</v>
      </c>
      <c r="S692" s="31">
        <v>0</v>
      </c>
      <c r="T692" s="31" t="s">
        <v>46</v>
      </c>
      <c r="U692" s="31" t="s">
        <v>46</v>
      </c>
    </row>
    <row r="693" spans="1:21" x14ac:dyDescent="0.2">
      <c r="A693" s="31">
        <v>0.92088858664853224</v>
      </c>
      <c r="B693" s="46" t="s">
        <v>714</v>
      </c>
      <c r="C693" s="32">
        <v>0</v>
      </c>
      <c r="D693" s="32">
        <v>1</v>
      </c>
      <c r="E693" s="31">
        <v>0.50000000052480864</v>
      </c>
      <c r="F693" s="31">
        <v>0</v>
      </c>
      <c r="G693" s="31">
        <v>0</v>
      </c>
      <c r="H693" s="31">
        <v>0</v>
      </c>
      <c r="I693" s="48">
        <v>0</v>
      </c>
      <c r="J693" s="47" t="s">
        <v>715</v>
      </c>
      <c r="K693" s="32">
        <v>0</v>
      </c>
      <c r="L693" s="32">
        <v>1</v>
      </c>
      <c r="M693" s="31">
        <v>-0.50000000052480864</v>
      </c>
      <c r="N693" s="31">
        <v>0</v>
      </c>
      <c r="O693" s="31">
        <v>0</v>
      </c>
      <c r="P693" s="31">
        <v>0</v>
      </c>
      <c r="Q693" s="31">
        <v>0</v>
      </c>
      <c r="R693" s="31">
        <v>0</v>
      </c>
      <c r="S693" s="31">
        <v>0</v>
      </c>
      <c r="T693" s="31" t="s">
        <v>46</v>
      </c>
      <c r="U693" s="31" t="s">
        <v>46</v>
      </c>
    </row>
    <row r="694" spans="1:21" x14ac:dyDescent="0.2">
      <c r="A694" s="31">
        <v>0.92797234500736703</v>
      </c>
      <c r="B694" s="46" t="s">
        <v>716</v>
      </c>
      <c r="C694" s="32">
        <v>0</v>
      </c>
      <c r="D694" s="32">
        <v>1</v>
      </c>
      <c r="E694" s="31">
        <v>0.50000000052480864</v>
      </c>
      <c r="F694" s="31">
        <v>0</v>
      </c>
      <c r="G694" s="31">
        <v>0</v>
      </c>
      <c r="H694" s="31">
        <v>0</v>
      </c>
      <c r="I694" s="48">
        <v>0</v>
      </c>
      <c r="J694" s="47" t="s">
        <v>717</v>
      </c>
      <c r="K694" s="32">
        <v>0</v>
      </c>
      <c r="L694" s="32">
        <v>1</v>
      </c>
      <c r="M694" s="31">
        <v>-0.50000000052480864</v>
      </c>
      <c r="N694" s="31">
        <v>0</v>
      </c>
      <c r="O694" s="31">
        <v>0</v>
      </c>
      <c r="P694" s="31">
        <v>0</v>
      </c>
      <c r="Q694" s="31">
        <v>0</v>
      </c>
      <c r="R694" s="31">
        <v>0</v>
      </c>
      <c r="S694" s="31">
        <v>0</v>
      </c>
      <c r="T694" s="31" t="s">
        <v>46</v>
      </c>
      <c r="U694" s="31" t="s">
        <v>46</v>
      </c>
    </row>
    <row r="695" spans="1:21" x14ac:dyDescent="0.2">
      <c r="A695" s="31">
        <v>0.93505610336620193</v>
      </c>
      <c r="B695" s="46" t="s">
        <v>718</v>
      </c>
      <c r="C695" s="32">
        <v>0</v>
      </c>
      <c r="D695" s="32">
        <v>1</v>
      </c>
      <c r="E695" s="31">
        <v>0.50000000052480864</v>
      </c>
      <c r="F695" s="31">
        <v>0</v>
      </c>
      <c r="G695" s="31">
        <v>0</v>
      </c>
      <c r="H695" s="31">
        <v>0</v>
      </c>
      <c r="I695" s="48">
        <v>0</v>
      </c>
      <c r="J695" s="47" t="s">
        <v>719</v>
      </c>
      <c r="K695" s="32">
        <v>0</v>
      </c>
      <c r="L695" s="32">
        <v>1</v>
      </c>
      <c r="M695" s="31">
        <v>-0.50000000052480864</v>
      </c>
      <c r="N695" s="31">
        <v>0</v>
      </c>
      <c r="O695" s="31">
        <v>0</v>
      </c>
      <c r="P695" s="31">
        <v>0</v>
      </c>
      <c r="Q695" s="31">
        <v>0</v>
      </c>
      <c r="R695" s="31">
        <v>0</v>
      </c>
      <c r="S695" s="31">
        <v>0</v>
      </c>
      <c r="T695" s="31" t="s">
        <v>46</v>
      </c>
      <c r="U695" s="31" t="s">
        <v>46</v>
      </c>
    </row>
    <row r="696" spans="1:21" x14ac:dyDescent="0.2">
      <c r="A696" s="31">
        <v>0.94213986172503683</v>
      </c>
      <c r="B696" s="46" t="s">
        <v>720</v>
      </c>
      <c r="C696" s="32">
        <v>3.0000499999999999</v>
      </c>
      <c r="D696" s="32">
        <v>1</v>
      </c>
      <c r="E696" s="31">
        <v>0.50000000052480864</v>
      </c>
      <c r="F696" s="31">
        <v>0</v>
      </c>
      <c r="G696" s="31">
        <v>0</v>
      </c>
      <c r="H696" s="31">
        <v>0</v>
      </c>
      <c r="I696" s="48">
        <v>0</v>
      </c>
      <c r="J696" s="47" t="s">
        <v>721</v>
      </c>
      <c r="K696" s="32">
        <v>0</v>
      </c>
      <c r="L696" s="32">
        <v>1</v>
      </c>
      <c r="M696" s="31">
        <v>-0.50000000052480864</v>
      </c>
      <c r="N696" s="31">
        <v>0</v>
      </c>
      <c r="O696" s="31">
        <v>0</v>
      </c>
      <c r="P696" s="31">
        <v>0</v>
      </c>
      <c r="Q696" s="31">
        <v>0</v>
      </c>
      <c r="R696" s="31">
        <v>0</v>
      </c>
      <c r="S696" s="31">
        <v>0</v>
      </c>
      <c r="T696" s="31" t="s">
        <v>47</v>
      </c>
      <c r="U696" s="31" t="s">
        <v>46</v>
      </c>
    </row>
    <row r="697" spans="1:21" x14ac:dyDescent="0.2">
      <c r="A697" s="31">
        <v>0.94922362008387162</v>
      </c>
      <c r="B697" s="46" t="s">
        <v>722</v>
      </c>
      <c r="C697" s="32">
        <v>3.0000499999999999</v>
      </c>
      <c r="D697" s="32">
        <v>1</v>
      </c>
      <c r="E697" s="31">
        <v>0.50000000052480864</v>
      </c>
      <c r="F697" s="31">
        <v>0</v>
      </c>
      <c r="G697" s="31">
        <v>0</v>
      </c>
      <c r="H697" s="31">
        <v>0</v>
      </c>
      <c r="I697" s="48">
        <v>0</v>
      </c>
      <c r="J697" s="47" t="s">
        <v>723</v>
      </c>
      <c r="K697" s="32">
        <v>0</v>
      </c>
      <c r="L697" s="32">
        <v>1</v>
      </c>
      <c r="M697" s="31">
        <v>-0.50000000052480864</v>
      </c>
      <c r="N697" s="31">
        <v>0</v>
      </c>
      <c r="O697" s="31">
        <v>0</v>
      </c>
      <c r="P697" s="31">
        <v>0</v>
      </c>
      <c r="Q697" s="31">
        <v>0</v>
      </c>
      <c r="R697" s="31">
        <v>0</v>
      </c>
      <c r="S697" s="31">
        <v>0</v>
      </c>
      <c r="T697" s="31" t="s">
        <v>47</v>
      </c>
      <c r="U697" s="31" t="s">
        <v>46</v>
      </c>
    </row>
    <row r="698" spans="1:21" x14ac:dyDescent="0.2">
      <c r="A698" s="31">
        <v>0.95630737844270652</v>
      </c>
      <c r="B698" s="46" t="s">
        <v>724</v>
      </c>
      <c r="C698" s="32">
        <v>0</v>
      </c>
      <c r="D698" s="32">
        <v>1</v>
      </c>
      <c r="E698" s="31">
        <v>0.50000000052480864</v>
      </c>
      <c r="F698" s="31">
        <v>0</v>
      </c>
      <c r="G698" s="31">
        <v>0</v>
      </c>
      <c r="H698" s="31">
        <v>0</v>
      </c>
      <c r="I698" s="48">
        <v>0</v>
      </c>
      <c r="J698" s="47" t="s">
        <v>725</v>
      </c>
      <c r="K698" s="32">
        <v>0</v>
      </c>
      <c r="L698" s="32">
        <v>1</v>
      </c>
      <c r="M698" s="31">
        <v>-0.50000000052480864</v>
      </c>
      <c r="N698" s="31">
        <v>0</v>
      </c>
      <c r="O698" s="31">
        <v>0</v>
      </c>
      <c r="P698" s="31">
        <v>0</v>
      </c>
      <c r="Q698" s="31">
        <v>0</v>
      </c>
      <c r="R698" s="31">
        <v>0</v>
      </c>
      <c r="S698" s="31">
        <v>0</v>
      </c>
      <c r="T698" s="31" t="s">
        <v>46</v>
      </c>
      <c r="U698" s="31" t="s">
        <v>46</v>
      </c>
    </row>
    <row r="699" spans="1:21" x14ac:dyDescent="0.2">
      <c r="A699" s="31">
        <v>0.96339113680154143</v>
      </c>
      <c r="B699" s="46" t="s">
        <v>726</v>
      </c>
      <c r="C699" s="32">
        <v>0</v>
      </c>
      <c r="D699" s="32">
        <v>1</v>
      </c>
      <c r="E699" s="31">
        <v>0.50000000052480864</v>
      </c>
      <c r="F699" s="31">
        <v>0</v>
      </c>
      <c r="G699" s="31">
        <v>0</v>
      </c>
      <c r="H699" s="31">
        <v>0</v>
      </c>
      <c r="I699" s="48">
        <v>0</v>
      </c>
      <c r="J699" s="47" t="s">
        <v>727</v>
      </c>
      <c r="K699" s="32">
        <v>0</v>
      </c>
      <c r="L699" s="32">
        <v>1</v>
      </c>
      <c r="M699" s="31">
        <v>-0.50000000052480864</v>
      </c>
      <c r="N699" s="31">
        <v>0</v>
      </c>
      <c r="O699" s="31">
        <v>0</v>
      </c>
      <c r="P699" s="31">
        <v>0</v>
      </c>
      <c r="Q699" s="31">
        <v>0</v>
      </c>
      <c r="R699" s="31">
        <v>0</v>
      </c>
      <c r="S699" s="31">
        <v>0</v>
      </c>
      <c r="T699" s="31" t="s">
        <v>46</v>
      </c>
      <c r="U699" s="31" t="s">
        <v>46</v>
      </c>
    </row>
    <row r="700" spans="1:21" x14ac:dyDescent="0.2">
      <c r="A700" s="31">
        <v>0.97047489516037622</v>
      </c>
      <c r="B700" s="46" t="s">
        <v>728</v>
      </c>
      <c r="C700" s="32">
        <v>0</v>
      </c>
      <c r="D700" s="32">
        <v>1</v>
      </c>
      <c r="E700" s="31">
        <v>0.50000000052480864</v>
      </c>
      <c r="F700" s="31">
        <v>0</v>
      </c>
      <c r="G700" s="31">
        <v>0</v>
      </c>
      <c r="H700" s="31">
        <v>0</v>
      </c>
      <c r="I700" s="48">
        <v>0</v>
      </c>
      <c r="J700" s="47" t="s">
        <v>729</v>
      </c>
      <c r="K700" s="32">
        <v>0</v>
      </c>
      <c r="L700" s="32">
        <v>1</v>
      </c>
      <c r="M700" s="31">
        <v>-0.50000000052480864</v>
      </c>
      <c r="N700" s="31">
        <v>0</v>
      </c>
      <c r="O700" s="31">
        <v>0</v>
      </c>
      <c r="P700" s="31">
        <v>0</v>
      </c>
      <c r="Q700" s="31">
        <v>0</v>
      </c>
      <c r="R700" s="31">
        <v>0</v>
      </c>
      <c r="S700" s="31">
        <v>0</v>
      </c>
      <c r="T700" s="31" t="s">
        <v>46</v>
      </c>
      <c r="U700" s="31" t="s">
        <v>46</v>
      </c>
    </row>
    <row r="701" spans="1:21" x14ac:dyDescent="0.2">
      <c r="A701" s="31">
        <v>0.97755865351921112</v>
      </c>
      <c r="B701" s="46" t="s">
        <v>730</v>
      </c>
      <c r="C701" s="32">
        <v>0</v>
      </c>
      <c r="D701" s="32">
        <v>1</v>
      </c>
      <c r="E701" s="31">
        <v>0.50000000052480864</v>
      </c>
      <c r="F701" s="31">
        <v>0</v>
      </c>
      <c r="G701" s="31">
        <v>0</v>
      </c>
      <c r="H701" s="31">
        <v>0</v>
      </c>
      <c r="I701" s="48">
        <v>0</v>
      </c>
      <c r="J701" s="47" t="s">
        <v>731</v>
      </c>
      <c r="K701" s="32">
        <v>0</v>
      </c>
      <c r="L701" s="32">
        <v>1</v>
      </c>
      <c r="M701" s="31">
        <v>-0.50000000052480864</v>
      </c>
      <c r="N701" s="31">
        <v>0</v>
      </c>
      <c r="O701" s="31">
        <v>0</v>
      </c>
      <c r="P701" s="31">
        <v>0</v>
      </c>
      <c r="Q701" s="31">
        <v>0</v>
      </c>
      <c r="R701" s="31">
        <v>0</v>
      </c>
      <c r="S701" s="31">
        <v>0</v>
      </c>
      <c r="T701" s="31" t="s">
        <v>46</v>
      </c>
      <c r="U701" s="31" t="s">
        <v>46</v>
      </c>
    </row>
    <row r="702" spans="1:21" x14ac:dyDescent="0.2">
      <c r="A702" s="31">
        <v>0.98464241187804602</v>
      </c>
      <c r="B702" s="46" t="s">
        <v>732</v>
      </c>
      <c r="C702" s="32">
        <v>0</v>
      </c>
      <c r="D702" s="32">
        <v>1</v>
      </c>
      <c r="E702" s="31">
        <v>0.50000000052480864</v>
      </c>
      <c r="F702" s="31">
        <v>0</v>
      </c>
      <c r="G702" s="31">
        <v>0</v>
      </c>
      <c r="H702" s="31">
        <v>0</v>
      </c>
      <c r="I702" s="48">
        <v>0</v>
      </c>
      <c r="J702" s="47" t="s">
        <v>733</v>
      </c>
      <c r="K702" s="32">
        <v>0</v>
      </c>
      <c r="L702" s="32">
        <v>1</v>
      </c>
      <c r="M702" s="31">
        <v>-0.50000000052480864</v>
      </c>
      <c r="N702" s="31">
        <v>0</v>
      </c>
      <c r="O702" s="31">
        <v>0</v>
      </c>
      <c r="P702" s="31">
        <v>0</v>
      </c>
      <c r="Q702" s="31">
        <v>0</v>
      </c>
      <c r="R702" s="31">
        <v>0</v>
      </c>
      <c r="S702" s="31">
        <v>0</v>
      </c>
      <c r="T702" s="31" t="s">
        <v>46</v>
      </c>
      <c r="U702" s="31" t="s">
        <v>46</v>
      </c>
    </row>
    <row r="703" spans="1:21" x14ac:dyDescent="0.2">
      <c r="A703" s="31">
        <v>0.99172617023688081</v>
      </c>
      <c r="B703" s="46" t="s">
        <v>734</v>
      </c>
      <c r="C703" s="32">
        <v>0</v>
      </c>
      <c r="D703" s="32">
        <v>1</v>
      </c>
      <c r="E703" s="31">
        <v>0.50000000052480864</v>
      </c>
      <c r="F703" s="31">
        <v>0</v>
      </c>
      <c r="G703" s="31">
        <v>0</v>
      </c>
      <c r="H703" s="31">
        <v>0</v>
      </c>
      <c r="I703" s="48">
        <v>0</v>
      </c>
      <c r="J703" s="47" t="s">
        <v>735</v>
      </c>
      <c r="K703" s="32">
        <v>0</v>
      </c>
      <c r="L703" s="32">
        <v>1</v>
      </c>
      <c r="M703" s="31">
        <v>-0.50000000052480864</v>
      </c>
      <c r="N703" s="31">
        <v>0</v>
      </c>
      <c r="O703" s="31">
        <v>0</v>
      </c>
      <c r="P703" s="31">
        <v>0</v>
      </c>
      <c r="Q703" s="31">
        <v>0</v>
      </c>
      <c r="R703" s="31">
        <v>0</v>
      </c>
      <c r="S703" s="31">
        <v>0</v>
      </c>
      <c r="T703" s="31" t="s">
        <v>46</v>
      </c>
      <c r="U703" s="31" t="s">
        <v>46</v>
      </c>
    </row>
    <row r="704" spans="1:21" x14ac:dyDescent="0.2">
      <c r="A704" s="31">
        <v>0.99880992859571571</v>
      </c>
      <c r="B704" s="46" t="s">
        <v>736</v>
      </c>
      <c r="C704" s="32">
        <v>0</v>
      </c>
      <c r="D704" s="32">
        <v>1</v>
      </c>
      <c r="E704" s="31">
        <v>0.50000000052480864</v>
      </c>
      <c r="F704" s="31">
        <v>0</v>
      </c>
      <c r="G704" s="31">
        <v>0</v>
      </c>
      <c r="H704" s="31">
        <v>0</v>
      </c>
      <c r="I704" s="48">
        <v>0</v>
      </c>
      <c r="J704" s="47" t="s">
        <v>737</v>
      </c>
      <c r="K704" s="32">
        <v>0</v>
      </c>
      <c r="L704" s="32">
        <v>1</v>
      </c>
      <c r="M704" s="31">
        <v>-0.50000000052480864</v>
      </c>
      <c r="N704" s="31">
        <v>0</v>
      </c>
      <c r="O704" s="31">
        <v>0</v>
      </c>
      <c r="P704" s="31">
        <v>0</v>
      </c>
      <c r="Q704" s="31">
        <v>0</v>
      </c>
      <c r="R704" s="31">
        <v>0</v>
      </c>
      <c r="S704" s="31">
        <v>0</v>
      </c>
      <c r="T704" s="31" t="s">
        <v>46</v>
      </c>
      <c r="U704" s="31" t="s">
        <v>46</v>
      </c>
    </row>
    <row r="705" spans="1:21" x14ac:dyDescent="0.2">
      <c r="A705" s="31">
        <v>1.0058936869545505</v>
      </c>
      <c r="B705" s="46" t="s">
        <v>738</v>
      </c>
      <c r="C705" s="32">
        <v>0</v>
      </c>
      <c r="D705" s="32">
        <v>1</v>
      </c>
      <c r="E705" s="31">
        <v>0.50000000052480864</v>
      </c>
      <c r="F705" s="31">
        <v>0</v>
      </c>
      <c r="G705" s="31">
        <v>0</v>
      </c>
      <c r="H705" s="31">
        <v>0</v>
      </c>
      <c r="I705" s="48">
        <v>0</v>
      </c>
      <c r="J705" s="47" t="s">
        <v>739</v>
      </c>
      <c r="K705" s="32">
        <v>0</v>
      </c>
      <c r="L705" s="32">
        <v>1</v>
      </c>
      <c r="M705" s="31">
        <v>-0.50000000052480864</v>
      </c>
      <c r="N705" s="31">
        <v>0</v>
      </c>
      <c r="O705" s="31">
        <v>0</v>
      </c>
      <c r="P705" s="31">
        <v>0</v>
      </c>
      <c r="Q705" s="31">
        <v>0</v>
      </c>
      <c r="R705" s="31">
        <v>0</v>
      </c>
      <c r="S705" s="31">
        <v>0</v>
      </c>
      <c r="T705" s="31" t="s">
        <v>46</v>
      </c>
      <c r="U705" s="31" t="s">
        <v>46</v>
      </c>
    </row>
    <row r="706" spans="1:21" x14ac:dyDescent="0.2">
      <c r="A706" s="31">
        <v>1.0129774453133855</v>
      </c>
      <c r="B706" s="46" t="s">
        <v>740</v>
      </c>
      <c r="C706" s="32">
        <v>0</v>
      </c>
      <c r="D706" s="32">
        <v>1</v>
      </c>
      <c r="E706" s="31">
        <v>0.50000000052480864</v>
      </c>
      <c r="F706" s="31">
        <v>0</v>
      </c>
      <c r="G706" s="31">
        <v>0</v>
      </c>
      <c r="H706" s="31">
        <v>0</v>
      </c>
      <c r="I706" s="48">
        <v>0</v>
      </c>
      <c r="J706" s="47" t="s">
        <v>741</v>
      </c>
      <c r="K706" s="32">
        <v>0</v>
      </c>
      <c r="L706" s="32">
        <v>1</v>
      </c>
      <c r="M706" s="31">
        <v>-0.50000000052480864</v>
      </c>
      <c r="N706" s="31">
        <v>0</v>
      </c>
      <c r="O706" s="31">
        <v>0</v>
      </c>
      <c r="P706" s="31">
        <v>0</v>
      </c>
      <c r="Q706" s="31">
        <v>0</v>
      </c>
      <c r="R706" s="31">
        <v>0</v>
      </c>
      <c r="S706" s="31">
        <v>0</v>
      </c>
      <c r="T706" s="31" t="s">
        <v>46</v>
      </c>
      <c r="U706" s="31" t="s">
        <v>46</v>
      </c>
    </row>
    <row r="707" spans="1:21" x14ac:dyDescent="0.2">
      <c r="A707" s="31">
        <v>1.0200612036722203</v>
      </c>
      <c r="B707" s="46" t="s">
        <v>742</v>
      </c>
      <c r="C707" s="32">
        <v>0</v>
      </c>
      <c r="D707" s="32">
        <v>1</v>
      </c>
      <c r="E707" s="31">
        <v>0.50000000052480864</v>
      </c>
      <c r="F707" s="31">
        <v>0</v>
      </c>
      <c r="G707" s="31">
        <v>0</v>
      </c>
      <c r="H707" s="31">
        <v>0</v>
      </c>
      <c r="I707" s="48">
        <v>0</v>
      </c>
      <c r="J707" s="47" t="s">
        <v>743</v>
      </c>
      <c r="K707" s="32">
        <v>0</v>
      </c>
      <c r="L707" s="32">
        <v>1</v>
      </c>
      <c r="M707" s="31">
        <v>-0.50000000052480864</v>
      </c>
      <c r="N707" s="31">
        <v>0</v>
      </c>
      <c r="O707" s="31">
        <v>0</v>
      </c>
      <c r="P707" s="31">
        <v>0</v>
      </c>
      <c r="Q707" s="31">
        <v>0</v>
      </c>
      <c r="R707" s="31">
        <v>0</v>
      </c>
      <c r="S707" s="31">
        <v>0</v>
      </c>
      <c r="T707" s="31" t="s">
        <v>46</v>
      </c>
      <c r="U707" s="31" t="s">
        <v>46</v>
      </c>
    </row>
    <row r="708" spans="1:21" x14ac:dyDescent="0.2">
      <c r="A708" s="31">
        <v>1.0271449620310551</v>
      </c>
      <c r="B708" s="46" t="s">
        <v>744</v>
      </c>
      <c r="C708" s="32">
        <v>0</v>
      </c>
      <c r="D708" s="32">
        <v>1</v>
      </c>
      <c r="E708" s="31">
        <v>0.50000000052480864</v>
      </c>
      <c r="F708" s="31">
        <v>0</v>
      </c>
      <c r="G708" s="31">
        <v>0</v>
      </c>
      <c r="H708" s="31">
        <v>0</v>
      </c>
      <c r="I708" s="48">
        <v>0</v>
      </c>
      <c r="J708" s="47" t="s">
        <v>745</v>
      </c>
      <c r="K708" s="32">
        <v>0</v>
      </c>
      <c r="L708" s="32">
        <v>1</v>
      </c>
      <c r="M708" s="31">
        <v>-0.50000000052480864</v>
      </c>
      <c r="N708" s="31">
        <v>0</v>
      </c>
      <c r="O708" s="31">
        <v>0</v>
      </c>
      <c r="P708" s="31">
        <v>0</v>
      </c>
      <c r="Q708" s="31">
        <v>0</v>
      </c>
      <c r="R708" s="31">
        <v>0</v>
      </c>
      <c r="S708" s="31">
        <v>0</v>
      </c>
      <c r="T708" s="31" t="s">
        <v>46</v>
      </c>
      <c r="U708" s="31" t="s">
        <v>46</v>
      </c>
    </row>
    <row r="709" spans="1:21" x14ac:dyDescent="0.2">
      <c r="A709" s="31">
        <v>1.0342287203898901</v>
      </c>
      <c r="B709" s="46" t="s">
        <v>746</v>
      </c>
      <c r="C709" s="32">
        <v>0</v>
      </c>
      <c r="D709" s="32">
        <v>1</v>
      </c>
      <c r="E709" s="31">
        <v>0.50000000052480864</v>
      </c>
      <c r="F709" s="31">
        <v>0</v>
      </c>
      <c r="G709" s="31">
        <v>0</v>
      </c>
      <c r="H709" s="31">
        <v>0</v>
      </c>
      <c r="I709" s="48">
        <v>0</v>
      </c>
      <c r="J709" s="47" t="s">
        <v>747</v>
      </c>
      <c r="K709" s="32">
        <v>0</v>
      </c>
      <c r="L709" s="32">
        <v>1</v>
      </c>
      <c r="M709" s="31">
        <v>-0.50000000052480864</v>
      </c>
      <c r="N709" s="31">
        <v>0</v>
      </c>
      <c r="O709" s="31">
        <v>0</v>
      </c>
      <c r="P709" s="31">
        <v>0</v>
      </c>
      <c r="Q709" s="31">
        <v>0</v>
      </c>
      <c r="R709" s="31">
        <v>0</v>
      </c>
      <c r="S709" s="31">
        <v>0</v>
      </c>
      <c r="T709" s="31" t="s">
        <v>46</v>
      </c>
      <c r="U709" s="31" t="s">
        <v>46</v>
      </c>
    </row>
    <row r="710" spans="1:21" x14ac:dyDescent="0.2">
      <c r="A710" s="31">
        <v>1.0413124787487249</v>
      </c>
      <c r="B710" s="46" t="s">
        <v>748</v>
      </c>
      <c r="C710" s="32">
        <v>0</v>
      </c>
      <c r="D710" s="32">
        <v>1</v>
      </c>
      <c r="E710" s="31">
        <v>0.50000000052480864</v>
      </c>
      <c r="F710" s="31">
        <v>0</v>
      </c>
      <c r="G710" s="31">
        <v>0</v>
      </c>
      <c r="H710" s="31">
        <v>0</v>
      </c>
      <c r="I710" s="48">
        <v>0</v>
      </c>
      <c r="J710" s="47" t="s">
        <v>749</v>
      </c>
      <c r="K710" s="32">
        <v>0</v>
      </c>
      <c r="L710" s="32">
        <v>1</v>
      </c>
      <c r="M710" s="31">
        <v>-0.50000000052480864</v>
      </c>
      <c r="N710" s="31">
        <v>0</v>
      </c>
      <c r="O710" s="31">
        <v>0</v>
      </c>
      <c r="P710" s="31">
        <v>0</v>
      </c>
      <c r="Q710" s="31">
        <v>0</v>
      </c>
      <c r="R710" s="31">
        <v>0</v>
      </c>
      <c r="S710" s="31">
        <v>0</v>
      </c>
      <c r="T710" s="31" t="s">
        <v>46</v>
      </c>
      <c r="U710" s="31" t="s">
        <v>46</v>
      </c>
    </row>
    <row r="711" spans="1:21" x14ac:dyDescent="0.2">
      <c r="A711" s="31">
        <v>1.0483962371075597</v>
      </c>
      <c r="B711" s="46" t="s">
        <v>750</v>
      </c>
      <c r="C711" s="32">
        <v>0</v>
      </c>
      <c r="D711" s="32">
        <v>1</v>
      </c>
      <c r="E711" s="31">
        <v>0.50000000052480864</v>
      </c>
      <c r="F711" s="31">
        <v>0</v>
      </c>
      <c r="G711" s="31">
        <v>0</v>
      </c>
      <c r="H711" s="31">
        <v>0</v>
      </c>
      <c r="I711" s="48">
        <v>0</v>
      </c>
      <c r="J711" s="47" t="s">
        <v>751</v>
      </c>
      <c r="K711" s="32">
        <v>0</v>
      </c>
      <c r="L711" s="32">
        <v>1</v>
      </c>
      <c r="M711" s="31">
        <v>-0.50000000052480864</v>
      </c>
      <c r="N711" s="31">
        <v>0</v>
      </c>
      <c r="O711" s="31">
        <v>0</v>
      </c>
      <c r="P711" s="31">
        <v>0</v>
      </c>
      <c r="Q711" s="31">
        <v>0</v>
      </c>
      <c r="R711" s="31">
        <v>0</v>
      </c>
      <c r="S711" s="31">
        <v>0</v>
      </c>
      <c r="T711" s="31" t="s">
        <v>46</v>
      </c>
      <c r="U711" s="31" t="s">
        <v>46</v>
      </c>
    </row>
    <row r="712" spans="1:21" x14ac:dyDescent="0.2">
      <c r="A712" s="31">
        <v>1.0554799954663947</v>
      </c>
      <c r="B712" s="46" t="s">
        <v>752</v>
      </c>
      <c r="C712" s="32">
        <v>0</v>
      </c>
      <c r="D712" s="32">
        <v>1</v>
      </c>
      <c r="E712" s="31">
        <v>0.50000000052480864</v>
      </c>
      <c r="F712" s="31">
        <v>0</v>
      </c>
      <c r="G712" s="31">
        <v>0</v>
      </c>
      <c r="H712" s="31">
        <v>0</v>
      </c>
      <c r="I712" s="48">
        <v>0</v>
      </c>
      <c r="J712" s="47" t="s">
        <v>753</v>
      </c>
      <c r="K712" s="32">
        <v>0</v>
      </c>
      <c r="L712" s="32">
        <v>1</v>
      </c>
      <c r="M712" s="31">
        <v>-0.50000000052480864</v>
      </c>
      <c r="N712" s="31">
        <v>0</v>
      </c>
      <c r="O712" s="31">
        <v>0</v>
      </c>
      <c r="P712" s="31">
        <v>0</v>
      </c>
      <c r="Q712" s="31">
        <v>0</v>
      </c>
      <c r="R712" s="31">
        <v>0</v>
      </c>
      <c r="S712" s="31">
        <v>0</v>
      </c>
      <c r="T712" s="31" t="s">
        <v>46</v>
      </c>
      <c r="U712" s="31" t="s">
        <v>46</v>
      </c>
    </row>
    <row r="713" spans="1:21" x14ac:dyDescent="0.2">
      <c r="A713" s="31">
        <v>1.0625637538252295</v>
      </c>
      <c r="B713" s="46" t="s">
        <v>754</v>
      </c>
      <c r="C713" s="32">
        <v>0</v>
      </c>
      <c r="D713" s="32">
        <v>1</v>
      </c>
      <c r="E713" s="31">
        <v>0.50000000052480864</v>
      </c>
      <c r="F713" s="31">
        <v>0</v>
      </c>
      <c r="G713" s="31">
        <v>0</v>
      </c>
      <c r="H713" s="31">
        <v>0</v>
      </c>
      <c r="I713" s="48">
        <v>0</v>
      </c>
      <c r="J713" s="47" t="s">
        <v>755</v>
      </c>
      <c r="K713" s="32">
        <v>0</v>
      </c>
      <c r="L713" s="32">
        <v>1</v>
      </c>
      <c r="M713" s="31">
        <v>-0.50000000052480864</v>
      </c>
      <c r="N713" s="31">
        <v>0</v>
      </c>
      <c r="O713" s="31">
        <v>0</v>
      </c>
      <c r="P713" s="31">
        <v>0</v>
      </c>
      <c r="Q713" s="31">
        <v>0</v>
      </c>
      <c r="R713" s="31">
        <v>0</v>
      </c>
      <c r="S713" s="31">
        <v>0</v>
      </c>
      <c r="T713" s="31" t="s">
        <v>46</v>
      </c>
      <c r="U713" s="31" t="s">
        <v>46</v>
      </c>
    </row>
    <row r="714" spans="1:21" x14ac:dyDescent="0.2">
      <c r="A714" s="31">
        <v>1.0696475121840643</v>
      </c>
      <c r="B714" s="46" t="s">
        <v>756</v>
      </c>
      <c r="C714" s="32">
        <v>0</v>
      </c>
      <c r="D714" s="32">
        <v>1</v>
      </c>
      <c r="E714" s="31">
        <v>0.50000000052480864</v>
      </c>
      <c r="F714" s="31">
        <v>0</v>
      </c>
      <c r="G714" s="31">
        <v>0</v>
      </c>
      <c r="H714" s="31">
        <v>0</v>
      </c>
      <c r="I714" s="48">
        <v>0</v>
      </c>
      <c r="J714" s="47" t="s">
        <v>757</v>
      </c>
      <c r="K714" s="32">
        <v>0</v>
      </c>
      <c r="L714" s="32">
        <v>1</v>
      </c>
      <c r="M714" s="31">
        <v>-0.50000000052480864</v>
      </c>
      <c r="N714" s="31">
        <v>0</v>
      </c>
      <c r="O714" s="31">
        <v>0</v>
      </c>
      <c r="P714" s="31">
        <v>0</v>
      </c>
      <c r="Q714" s="31">
        <v>0</v>
      </c>
      <c r="R714" s="31">
        <v>0</v>
      </c>
      <c r="S714" s="31">
        <v>0</v>
      </c>
      <c r="T714" s="31" t="s">
        <v>46</v>
      </c>
      <c r="U714" s="31" t="s">
        <v>46</v>
      </c>
    </row>
    <row r="715" spans="1:21" x14ac:dyDescent="0.2">
      <c r="A715" s="31">
        <v>1.0767312705428993</v>
      </c>
      <c r="B715" s="46" t="s">
        <v>758</v>
      </c>
      <c r="C715" s="32">
        <v>0</v>
      </c>
      <c r="D715" s="32">
        <v>1</v>
      </c>
      <c r="E715" s="31">
        <v>0.50000000052480864</v>
      </c>
      <c r="F715" s="31">
        <v>0</v>
      </c>
      <c r="G715" s="31">
        <v>0</v>
      </c>
      <c r="H715" s="31">
        <v>0</v>
      </c>
      <c r="I715" s="48">
        <v>0</v>
      </c>
      <c r="J715" s="47" t="s">
        <v>759</v>
      </c>
      <c r="K715" s="32">
        <v>0</v>
      </c>
      <c r="L715" s="32">
        <v>1</v>
      </c>
      <c r="M715" s="31">
        <v>-0.50000000052480864</v>
      </c>
      <c r="N715" s="31">
        <v>0</v>
      </c>
      <c r="O715" s="31">
        <v>0</v>
      </c>
      <c r="P715" s="31">
        <v>0</v>
      </c>
      <c r="Q715" s="31">
        <v>0</v>
      </c>
      <c r="R715" s="31">
        <v>0</v>
      </c>
      <c r="S715" s="31">
        <v>0</v>
      </c>
      <c r="T715" s="31" t="s">
        <v>46</v>
      </c>
      <c r="U715" s="31" t="s">
        <v>46</v>
      </c>
    </row>
    <row r="716" spans="1:21" x14ac:dyDescent="0.2">
      <c r="A716" s="31">
        <v>1.0838150289017341</v>
      </c>
      <c r="B716" s="46" t="s">
        <v>760</v>
      </c>
      <c r="C716" s="32">
        <v>0</v>
      </c>
      <c r="D716" s="32">
        <v>1</v>
      </c>
      <c r="E716" s="31">
        <v>0.50000000052480864</v>
      </c>
      <c r="F716" s="31">
        <v>0</v>
      </c>
      <c r="G716" s="31">
        <v>0</v>
      </c>
      <c r="H716" s="31">
        <v>0</v>
      </c>
      <c r="I716" s="48">
        <v>0</v>
      </c>
      <c r="J716" s="47" t="s">
        <v>761</v>
      </c>
      <c r="K716" s="32">
        <v>0</v>
      </c>
      <c r="L716" s="32">
        <v>1</v>
      </c>
      <c r="M716" s="31">
        <v>-0.50000000052480864</v>
      </c>
      <c r="N716" s="31">
        <v>0</v>
      </c>
      <c r="O716" s="31">
        <v>0</v>
      </c>
      <c r="P716" s="31">
        <v>0</v>
      </c>
      <c r="Q716" s="31">
        <v>0</v>
      </c>
      <c r="R716" s="31">
        <v>0</v>
      </c>
      <c r="S716" s="31">
        <v>0</v>
      </c>
      <c r="T716" s="31" t="s">
        <v>46</v>
      </c>
      <c r="U716" s="31" t="s">
        <v>46</v>
      </c>
    </row>
    <row r="717" spans="1:21" x14ac:dyDescent="0.2">
      <c r="A717" s="31">
        <v>1.0908987872605689</v>
      </c>
      <c r="B717" s="46" t="s">
        <v>762</v>
      </c>
      <c r="C717" s="32">
        <v>0</v>
      </c>
      <c r="D717" s="32">
        <v>1</v>
      </c>
      <c r="E717" s="31">
        <v>0.50000000052480864</v>
      </c>
      <c r="F717" s="31">
        <v>0</v>
      </c>
      <c r="G717" s="31">
        <v>0</v>
      </c>
      <c r="H717" s="31">
        <v>0</v>
      </c>
      <c r="I717" s="48">
        <v>0</v>
      </c>
      <c r="J717" s="47" t="s">
        <v>763</v>
      </c>
      <c r="K717" s="32">
        <v>0</v>
      </c>
      <c r="L717" s="32">
        <v>1</v>
      </c>
      <c r="M717" s="31">
        <v>-0.50000000052480864</v>
      </c>
      <c r="N717" s="31">
        <v>0</v>
      </c>
      <c r="O717" s="31">
        <v>0</v>
      </c>
      <c r="P717" s="31">
        <v>0</v>
      </c>
      <c r="Q717" s="31">
        <v>0</v>
      </c>
      <c r="R717" s="31">
        <v>0</v>
      </c>
      <c r="S717" s="31">
        <v>0</v>
      </c>
      <c r="T717" s="31" t="s">
        <v>46</v>
      </c>
      <c r="U717" s="31" t="s">
        <v>46</v>
      </c>
    </row>
    <row r="718" spans="1:21" x14ac:dyDescent="0.2">
      <c r="A718" s="31">
        <v>1.0979825456194037</v>
      </c>
      <c r="B718" s="46" t="s">
        <v>764</v>
      </c>
      <c r="C718" s="32">
        <v>0</v>
      </c>
      <c r="D718" s="32">
        <v>1</v>
      </c>
      <c r="E718" s="31">
        <v>0.50000000052480864</v>
      </c>
      <c r="F718" s="31">
        <v>0</v>
      </c>
      <c r="G718" s="31">
        <v>0</v>
      </c>
      <c r="H718" s="31">
        <v>0</v>
      </c>
      <c r="I718" s="48">
        <v>0</v>
      </c>
      <c r="J718" s="47" t="s">
        <v>765</v>
      </c>
      <c r="K718" s="32">
        <v>0</v>
      </c>
      <c r="L718" s="32">
        <v>1</v>
      </c>
      <c r="M718" s="31">
        <v>-0.50000000052480864</v>
      </c>
      <c r="N718" s="31">
        <v>0</v>
      </c>
      <c r="O718" s="31">
        <v>0</v>
      </c>
      <c r="P718" s="31">
        <v>0</v>
      </c>
      <c r="Q718" s="31">
        <v>0</v>
      </c>
      <c r="R718" s="31">
        <v>0</v>
      </c>
      <c r="S718" s="31">
        <v>0</v>
      </c>
      <c r="T718" s="31" t="s">
        <v>46</v>
      </c>
      <c r="U718" s="31" t="s">
        <v>46</v>
      </c>
    </row>
    <row r="719" spans="1:21" x14ac:dyDescent="0.2">
      <c r="A719" s="31">
        <v>1.1050663039782387</v>
      </c>
      <c r="B719" s="46" t="s">
        <v>766</v>
      </c>
      <c r="C719" s="32">
        <v>0</v>
      </c>
      <c r="D719" s="32">
        <v>1</v>
      </c>
      <c r="E719" s="31">
        <v>0.50000000052480864</v>
      </c>
      <c r="F719" s="31">
        <v>0</v>
      </c>
      <c r="G719" s="31">
        <v>0</v>
      </c>
      <c r="H719" s="31">
        <v>0</v>
      </c>
      <c r="I719" s="48">
        <v>0</v>
      </c>
      <c r="J719" s="47" t="s">
        <v>767</v>
      </c>
      <c r="K719" s="32">
        <v>0</v>
      </c>
      <c r="L719" s="32">
        <v>1</v>
      </c>
      <c r="M719" s="31">
        <v>-0.50000000052480864</v>
      </c>
      <c r="N719" s="31">
        <v>0</v>
      </c>
      <c r="O719" s="31">
        <v>0</v>
      </c>
      <c r="P719" s="31">
        <v>0</v>
      </c>
      <c r="Q719" s="31">
        <v>0</v>
      </c>
      <c r="R719" s="31">
        <v>0</v>
      </c>
      <c r="S719" s="31">
        <v>0</v>
      </c>
      <c r="T719" s="31" t="s">
        <v>46</v>
      </c>
      <c r="U719" s="31" t="s">
        <v>46</v>
      </c>
    </row>
    <row r="720" spans="1:21" x14ac:dyDescent="0.2">
      <c r="A720" s="31">
        <v>1.1121500623370735</v>
      </c>
      <c r="B720" s="46" t="s">
        <v>768</v>
      </c>
      <c r="C720" s="32">
        <v>0</v>
      </c>
      <c r="D720" s="32">
        <v>1</v>
      </c>
      <c r="E720" s="31">
        <v>0.50000000052480864</v>
      </c>
      <c r="F720" s="31">
        <v>0</v>
      </c>
      <c r="G720" s="31">
        <v>0</v>
      </c>
      <c r="H720" s="31">
        <v>0</v>
      </c>
      <c r="I720" s="31">
        <v>0</v>
      </c>
      <c r="J720" s="47" t="s">
        <v>769</v>
      </c>
      <c r="K720" s="32">
        <v>0</v>
      </c>
      <c r="L720" s="32">
        <v>1</v>
      </c>
      <c r="M720" s="31">
        <v>-0.50000000052480864</v>
      </c>
      <c r="N720" s="31">
        <v>0</v>
      </c>
      <c r="O720" s="31">
        <v>0</v>
      </c>
      <c r="P720" s="31">
        <v>0</v>
      </c>
      <c r="Q720" s="31">
        <v>0</v>
      </c>
      <c r="R720" s="31">
        <v>0</v>
      </c>
      <c r="S720" s="31">
        <v>0</v>
      </c>
      <c r="T720" s="31" t="s">
        <v>46</v>
      </c>
      <c r="U720" s="31" t="s">
        <v>46</v>
      </c>
    </row>
    <row r="721" spans="1:21" x14ac:dyDescent="0.2">
      <c r="A721" s="31">
        <v>1.1192338206959083</v>
      </c>
      <c r="B721" s="46" t="s">
        <v>770</v>
      </c>
      <c r="C721" s="32">
        <v>0</v>
      </c>
      <c r="D721" s="32">
        <v>1</v>
      </c>
      <c r="E721" s="31">
        <v>0.50000000052480864</v>
      </c>
      <c r="F721" s="31">
        <v>0</v>
      </c>
      <c r="G721" s="31">
        <v>0</v>
      </c>
      <c r="H721" s="31">
        <v>0</v>
      </c>
      <c r="I721" s="31">
        <v>0</v>
      </c>
      <c r="J721" s="47" t="s">
        <v>771</v>
      </c>
      <c r="K721" s="32">
        <v>3.0000499999999999</v>
      </c>
      <c r="L721" s="32">
        <v>1</v>
      </c>
      <c r="M721" s="31">
        <v>-0.50000000052480864</v>
      </c>
      <c r="N721" s="31">
        <v>0</v>
      </c>
      <c r="O721" s="31">
        <v>0</v>
      </c>
      <c r="P721" s="31">
        <v>0</v>
      </c>
      <c r="Q721" s="31">
        <v>0</v>
      </c>
      <c r="R721" s="31">
        <v>0</v>
      </c>
      <c r="S721" s="31">
        <v>0</v>
      </c>
      <c r="T721" s="31" t="s">
        <v>46</v>
      </c>
      <c r="U721" s="31" t="s">
        <v>47</v>
      </c>
    </row>
    <row r="722" spans="1:21" x14ac:dyDescent="0.2">
      <c r="A722" s="31">
        <v>1.1263175790547433</v>
      </c>
      <c r="B722" s="46" t="s">
        <v>772</v>
      </c>
      <c r="C722" s="32">
        <v>0</v>
      </c>
      <c r="D722" s="32">
        <v>1</v>
      </c>
      <c r="E722" s="31">
        <v>0.50000000052480864</v>
      </c>
      <c r="F722" s="31">
        <v>0</v>
      </c>
      <c r="G722" s="31">
        <v>0</v>
      </c>
      <c r="H722" s="31">
        <v>0</v>
      </c>
      <c r="I722" s="31">
        <v>0</v>
      </c>
      <c r="J722" s="47" t="s">
        <v>773</v>
      </c>
      <c r="K722" s="32">
        <v>0</v>
      </c>
      <c r="L722" s="32">
        <v>1</v>
      </c>
      <c r="M722" s="31">
        <v>-0.50000000052480864</v>
      </c>
      <c r="N722" s="31">
        <v>0</v>
      </c>
      <c r="O722" s="31">
        <v>0</v>
      </c>
      <c r="P722" s="31">
        <v>0</v>
      </c>
      <c r="Q722" s="31">
        <v>0</v>
      </c>
      <c r="R722" s="31">
        <v>0</v>
      </c>
      <c r="S722" s="31">
        <v>0</v>
      </c>
      <c r="T722" s="31" t="s">
        <v>46</v>
      </c>
      <c r="U722" s="31" t="s">
        <v>46</v>
      </c>
    </row>
    <row r="723" spans="1:21" x14ac:dyDescent="0.2">
      <c r="A723" s="31">
        <v>1.1334013374135781</v>
      </c>
      <c r="B723" s="46" t="s">
        <v>774</v>
      </c>
      <c r="C723" s="32">
        <v>0</v>
      </c>
      <c r="D723" s="32">
        <v>1</v>
      </c>
      <c r="E723" s="31">
        <v>0.50000000052480864</v>
      </c>
      <c r="F723" s="31">
        <v>0</v>
      </c>
      <c r="G723" s="31">
        <v>0</v>
      </c>
      <c r="H723" s="31">
        <v>0</v>
      </c>
      <c r="I723" s="31">
        <v>0</v>
      </c>
      <c r="J723" s="47" t="s">
        <v>775</v>
      </c>
      <c r="K723" s="32">
        <v>0</v>
      </c>
      <c r="L723" s="32">
        <v>1</v>
      </c>
      <c r="M723" s="31">
        <v>-0.50000000052480864</v>
      </c>
      <c r="N723" s="31">
        <v>0</v>
      </c>
      <c r="O723" s="31">
        <v>0</v>
      </c>
      <c r="P723" s="31">
        <v>0</v>
      </c>
      <c r="Q723" s="31">
        <v>0</v>
      </c>
      <c r="R723" s="31">
        <v>0</v>
      </c>
      <c r="S723" s="31">
        <v>0</v>
      </c>
      <c r="T723" s="31" t="s">
        <v>46</v>
      </c>
      <c r="U723" s="31" t="s">
        <v>46</v>
      </c>
    </row>
    <row r="724" spans="1:21" x14ac:dyDescent="0.2">
      <c r="A724" s="31">
        <v>1.1404850957724129</v>
      </c>
      <c r="B724" s="46" t="s">
        <v>776</v>
      </c>
      <c r="C724" s="32">
        <v>0</v>
      </c>
      <c r="D724" s="32">
        <v>1</v>
      </c>
      <c r="E724" s="31">
        <v>0.50000000052480864</v>
      </c>
      <c r="F724" s="31">
        <v>0</v>
      </c>
      <c r="G724" s="31">
        <v>0</v>
      </c>
      <c r="H724" s="31">
        <v>0</v>
      </c>
      <c r="I724" s="31">
        <v>0</v>
      </c>
      <c r="J724" s="47" t="s">
        <v>777</v>
      </c>
      <c r="K724" s="32">
        <v>0</v>
      </c>
      <c r="L724" s="32">
        <v>1</v>
      </c>
      <c r="M724" s="31">
        <v>-0.50000000052480864</v>
      </c>
      <c r="N724" s="31">
        <v>0</v>
      </c>
      <c r="O724" s="31">
        <v>0</v>
      </c>
      <c r="P724" s="31">
        <v>0</v>
      </c>
      <c r="Q724" s="31">
        <v>0</v>
      </c>
      <c r="R724" s="31">
        <v>0</v>
      </c>
      <c r="S724" s="31">
        <v>0</v>
      </c>
      <c r="T724" s="31" t="s">
        <v>46</v>
      </c>
      <c r="U724" s="31" t="s">
        <v>46</v>
      </c>
    </row>
    <row r="725" spans="1:21" x14ac:dyDescent="0.2">
      <c r="A725" s="31">
        <v>1.1475688541312479</v>
      </c>
      <c r="B725" s="46" t="s">
        <v>778</v>
      </c>
      <c r="C725" s="32">
        <v>0</v>
      </c>
      <c r="D725" s="32">
        <v>1</v>
      </c>
      <c r="E725" s="31">
        <v>0.50000000052480864</v>
      </c>
      <c r="F725" s="31">
        <v>0</v>
      </c>
      <c r="G725" s="31">
        <v>0</v>
      </c>
      <c r="H725" s="31">
        <v>0</v>
      </c>
      <c r="I725" s="31">
        <v>0</v>
      </c>
      <c r="J725" s="47" t="s">
        <v>779</v>
      </c>
      <c r="K725" s="32">
        <v>3.0000499999999999</v>
      </c>
      <c r="L725" s="32">
        <v>1</v>
      </c>
      <c r="M725" s="31">
        <v>-0.50000000052480864</v>
      </c>
      <c r="N725" s="31">
        <v>0</v>
      </c>
      <c r="O725" s="31">
        <v>0</v>
      </c>
      <c r="P725" s="31">
        <v>0</v>
      </c>
      <c r="Q725" s="31">
        <v>0</v>
      </c>
      <c r="R725" s="31">
        <v>0</v>
      </c>
      <c r="S725" s="31">
        <v>0</v>
      </c>
      <c r="T725" s="31" t="s">
        <v>46</v>
      </c>
      <c r="U725" s="31" t="s">
        <v>47</v>
      </c>
    </row>
    <row r="726" spans="1:21" x14ac:dyDescent="0.2">
      <c r="A726" s="31">
        <v>1.1546526124900827</v>
      </c>
      <c r="B726" s="46" t="s">
        <v>780</v>
      </c>
      <c r="C726" s="32">
        <v>0</v>
      </c>
      <c r="D726" s="32">
        <v>1</v>
      </c>
      <c r="E726" s="31">
        <v>0.50000000052480864</v>
      </c>
      <c r="F726" s="31">
        <v>0</v>
      </c>
      <c r="G726" s="31">
        <v>0</v>
      </c>
      <c r="H726" s="31">
        <v>0</v>
      </c>
      <c r="I726" s="31">
        <v>0</v>
      </c>
      <c r="J726" s="47" t="s">
        <v>781</v>
      </c>
      <c r="K726" s="32">
        <v>0</v>
      </c>
      <c r="L726" s="32">
        <v>1</v>
      </c>
      <c r="M726" s="31">
        <v>-0.50000000052480864</v>
      </c>
      <c r="N726" s="31">
        <v>0</v>
      </c>
      <c r="O726" s="31">
        <v>0</v>
      </c>
      <c r="P726" s="31">
        <v>0</v>
      </c>
      <c r="Q726" s="31">
        <v>0</v>
      </c>
      <c r="R726" s="31">
        <v>0</v>
      </c>
      <c r="S726" s="31">
        <v>0</v>
      </c>
      <c r="T726" s="31" t="s">
        <v>46</v>
      </c>
      <c r="U726" s="31" t="s">
        <v>46</v>
      </c>
    </row>
    <row r="727" spans="1:21" x14ac:dyDescent="0.2">
      <c r="A727" s="31">
        <v>1.1617363708489175</v>
      </c>
      <c r="B727" s="46" t="s">
        <v>782</v>
      </c>
      <c r="C727" s="32">
        <v>0</v>
      </c>
      <c r="D727" s="32">
        <v>1</v>
      </c>
      <c r="E727" s="31">
        <v>0.50000000052480864</v>
      </c>
      <c r="F727" s="31">
        <v>0</v>
      </c>
      <c r="G727" s="31">
        <v>0</v>
      </c>
      <c r="H727" s="31">
        <v>0</v>
      </c>
      <c r="I727" s="31">
        <v>0</v>
      </c>
      <c r="J727" s="47" t="s">
        <v>783</v>
      </c>
      <c r="K727" s="32">
        <v>0</v>
      </c>
      <c r="L727" s="32">
        <v>1</v>
      </c>
      <c r="M727" s="31">
        <v>-0.50000000052480864</v>
      </c>
      <c r="N727" s="31">
        <v>0</v>
      </c>
      <c r="O727" s="31">
        <v>0</v>
      </c>
      <c r="P727" s="31">
        <v>0</v>
      </c>
      <c r="Q727" s="31">
        <v>0</v>
      </c>
      <c r="R727" s="31">
        <v>0</v>
      </c>
      <c r="S727" s="31">
        <v>0</v>
      </c>
      <c r="T727" s="31" t="s">
        <v>46</v>
      </c>
      <c r="U727" s="31" t="s">
        <v>46</v>
      </c>
    </row>
    <row r="728" spans="1:21" x14ac:dyDescent="0.2">
      <c r="A728" s="31">
        <v>1.1688201292077525</v>
      </c>
      <c r="B728" s="46" t="s">
        <v>784</v>
      </c>
      <c r="C728" s="32">
        <v>0</v>
      </c>
      <c r="D728" s="32">
        <v>1</v>
      </c>
      <c r="E728" s="31">
        <v>0.50000000052480864</v>
      </c>
      <c r="F728" s="31">
        <v>0</v>
      </c>
      <c r="G728" s="31">
        <v>0</v>
      </c>
      <c r="H728" s="31">
        <v>0</v>
      </c>
      <c r="I728" s="31">
        <v>0</v>
      </c>
      <c r="J728" s="47" t="s">
        <v>785</v>
      </c>
      <c r="K728" s="32">
        <v>0</v>
      </c>
      <c r="L728" s="32">
        <v>1</v>
      </c>
      <c r="M728" s="31">
        <v>-0.50000000052480864</v>
      </c>
      <c r="N728" s="31">
        <v>0</v>
      </c>
      <c r="O728" s="31">
        <v>0</v>
      </c>
      <c r="P728" s="31">
        <v>0</v>
      </c>
      <c r="Q728" s="31">
        <v>0</v>
      </c>
      <c r="R728" s="31">
        <v>0</v>
      </c>
      <c r="S728" s="31">
        <v>0</v>
      </c>
      <c r="T728" s="31" t="s">
        <v>46</v>
      </c>
      <c r="U728" s="31" t="s">
        <v>46</v>
      </c>
    </row>
    <row r="729" spans="1:21" x14ac:dyDescent="0.2">
      <c r="A729" s="31">
        <v>1.1759038875665873</v>
      </c>
      <c r="B729" s="46" t="s">
        <v>786</v>
      </c>
      <c r="C729" s="32">
        <v>0</v>
      </c>
      <c r="D729" s="32">
        <v>1</v>
      </c>
      <c r="E729" s="31">
        <v>0.50000000052480864</v>
      </c>
      <c r="F729" s="31">
        <v>0</v>
      </c>
      <c r="G729" s="31">
        <v>0</v>
      </c>
      <c r="H729" s="31">
        <v>0</v>
      </c>
      <c r="I729" s="31">
        <v>0</v>
      </c>
      <c r="J729" s="47" t="s">
        <v>787</v>
      </c>
      <c r="K729" s="32">
        <v>3.0000499999999999</v>
      </c>
      <c r="L729" s="32">
        <v>1</v>
      </c>
      <c r="M729" s="31">
        <v>-0.50000000052480864</v>
      </c>
      <c r="N729" s="31">
        <v>0</v>
      </c>
      <c r="O729" s="31">
        <v>0</v>
      </c>
      <c r="P729" s="31">
        <v>0</v>
      </c>
      <c r="Q729" s="31">
        <v>0</v>
      </c>
      <c r="R729" s="31">
        <v>0</v>
      </c>
      <c r="S729" s="31">
        <v>0</v>
      </c>
      <c r="T729" s="31" t="s">
        <v>46</v>
      </c>
      <c r="U729" s="31" t="s">
        <v>47</v>
      </c>
    </row>
    <row r="730" spans="1:21" x14ac:dyDescent="0.2">
      <c r="A730" s="31">
        <v>1.182987645925422</v>
      </c>
      <c r="B730" s="46" t="s">
        <v>788</v>
      </c>
      <c r="C730" s="32">
        <v>0</v>
      </c>
      <c r="D730" s="32">
        <v>1</v>
      </c>
      <c r="E730" s="31">
        <v>0.50000000052480864</v>
      </c>
      <c r="F730" s="31">
        <v>0</v>
      </c>
      <c r="G730" s="31">
        <v>0</v>
      </c>
      <c r="H730" s="31">
        <v>0</v>
      </c>
      <c r="I730" s="48">
        <v>0</v>
      </c>
      <c r="J730" s="47" t="s">
        <v>789</v>
      </c>
      <c r="K730" s="32">
        <v>0</v>
      </c>
      <c r="L730" s="32">
        <v>1</v>
      </c>
      <c r="M730" s="31">
        <v>-0.50000000052480864</v>
      </c>
      <c r="N730" s="31">
        <v>0</v>
      </c>
      <c r="O730" s="31">
        <v>0</v>
      </c>
      <c r="P730" s="31">
        <v>0</v>
      </c>
      <c r="Q730" s="31">
        <v>0</v>
      </c>
      <c r="R730" s="31">
        <v>0</v>
      </c>
      <c r="S730" s="31">
        <v>0</v>
      </c>
      <c r="T730" s="31" t="s">
        <v>46</v>
      </c>
      <c r="U730" s="31" t="s">
        <v>46</v>
      </c>
    </row>
    <row r="731" spans="1:21" x14ac:dyDescent="0.2">
      <c r="A731" s="31">
        <v>1.1900714042842571</v>
      </c>
      <c r="B731" s="46" t="s">
        <v>790</v>
      </c>
      <c r="C731" s="32">
        <v>0</v>
      </c>
      <c r="D731" s="32">
        <v>1</v>
      </c>
      <c r="E731" s="31">
        <v>0.50000000052480864</v>
      </c>
      <c r="F731" s="31">
        <v>0</v>
      </c>
      <c r="G731" s="31">
        <v>0</v>
      </c>
      <c r="H731" s="31">
        <v>0</v>
      </c>
      <c r="I731" s="48">
        <v>0</v>
      </c>
      <c r="J731" s="47" t="s">
        <v>791</v>
      </c>
      <c r="K731" s="32">
        <v>0</v>
      </c>
      <c r="L731" s="32">
        <v>1</v>
      </c>
      <c r="M731" s="31">
        <v>-0.50000000052480864</v>
      </c>
      <c r="N731" s="31">
        <v>0</v>
      </c>
      <c r="O731" s="31">
        <v>0</v>
      </c>
      <c r="P731" s="31">
        <v>0</v>
      </c>
      <c r="Q731" s="31">
        <v>0</v>
      </c>
      <c r="R731" s="31">
        <v>0</v>
      </c>
      <c r="S731" s="31">
        <v>0</v>
      </c>
      <c r="T731" s="31" t="s">
        <v>46</v>
      </c>
      <c r="U731" s="31" t="s">
        <v>46</v>
      </c>
    </row>
    <row r="732" spans="1:21" x14ac:dyDescent="0.2">
      <c r="A732" s="31">
        <v>1.1971551626430919</v>
      </c>
      <c r="B732" s="46" t="s">
        <v>792</v>
      </c>
      <c r="C732" s="32">
        <v>0</v>
      </c>
      <c r="D732" s="32">
        <v>1</v>
      </c>
      <c r="E732" s="31">
        <v>0.50000000052480864</v>
      </c>
      <c r="F732" s="31">
        <v>0</v>
      </c>
      <c r="G732" s="31">
        <v>0</v>
      </c>
      <c r="H732" s="31">
        <v>0</v>
      </c>
      <c r="I732" s="48">
        <v>0</v>
      </c>
      <c r="J732" s="47" t="s">
        <v>793</v>
      </c>
      <c r="K732" s="32">
        <v>0</v>
      </c>
      <c r="L732" s="32">
        <v>1</v>
      </c>
      <c r="M732" s="31">
        <v>-0.50000000052480864</v>
      </c>
      <c r="N732" s="31">
        <v>0</v>
      </c>
      <c r="O732" s="31">
        <v>0</v>
      </c>
      <c r="P732" s="31">
        <v>0</v>
      </c>
      <c r="Q732" s="31">
        <v>0</v>
      </c>
      <c r="R732" s="31">
        <v>0</v>
      </c>
      <c r="S732" s="31">
        <v>0</v>
      </c>
      <c r="T732" s="31" t="s">
        <v>46</v>
      </c>
      <c r="U732" s="31" t="s">
        <v>46</v>
      </c>
    </row>
    <row r="733" spans="1:21" x14ac:dyDescent="0.2">
      <c r="A733" s="31">
        <v>1.2042389210019266</v>
      </c>
      <c r="B733" s="46" t="s">
        <v>794</v>
      </c>
      <c r="C733" s="32">
        <v>0</v>
      </c>
      <c r="D733" s="32">
        <v>1</v>
      </c>
      <c r="E733" s="31">
        <v>0.50000000052480864</v>
      </c>
      <c r="F733" s="31">
        <v>0</v>
      </c>
      <c r="G733" s="31">
        <v>0</v>
      </c>
      <c r="H733" s="31">
        <v>0</v>
      </c>
      <c r="I733" s="48">
        <v>0</v>
      </c>
      <c r="J733" s="47" t="s">
        <v>795</v>
      </c>
      <c r="K733" s="32">
        <v>0</v>
      </c>
      <c r="L733" s="32">
        <v>1</v>
      </c>
      <c r="M733" s="31">
        <v>-0.50000000052480864</v>
      </c>
      <c r="N733" s="31">
        <v>0</v>
      </c>
      <c r="O733" s="31">
        <v>0</v>
      </c>
      <c r="P733" s="31">
        <v>0</v>
      </c>
      <c r="Q733" s="31">
        <v>0</v>
      </c>
      <c r="R733" s="31">
        <v>0</v>
      </c>
      <c r="S733" s="31">
        <v>0</v>
      </c>
      <c r="T733" s="31" t="s">
        <v>46</v>
      </c>
      <c r="U733" s="31" t="s">
        <v>46</v>
      </c>
    </row>
    <row r="734" spans="1:21" x14ac:dyDescent="0.2">
      <c r="A734" s="31">
        <v>1.2113226793607617</v>
      </c>
      <c r="B734" s="46" t="s">
        <v>796</v>
      </c>
      <c r="C734" s="32">
        <v>0</v>
      </c>
      <c r="D734" s="32">
        <v>1</v>
      </c>
      <c r="E734" s="31">
        <v>0.50000000052480864</v>
      </c>
      <c r="F734" s="31">
        <v>0</v>
      </c>
      <c r="G734" s="31">
        <v>0</v>
      </c>
      <c r="H734" s="31">
        <v>0</v>
      </c>
      <c r="I734" s="48">
        <v>0</v>
      </c>
      <c r="J734" s="47" t="s">
        <v>797</v>
      </c>
      <c r="K734" s="32">
        <v>3.0000499999999999</v>
      </c>
      <c r="L734" s="32">
        <v>1</v>
      </c>
      <c r="M734" s="31">
        <v>-0.50000000052480864</v>
      </c>
      <c r="N734" s="31">
        <v>0</v>
      </c>
      <c r="O734" s="31">
        <v>0</v>
      </c>
      <c r="P734" s="31">
        <v>0</v>
      </c>
      <c r="Q734" s="31">
        <v>0</v>
      </c>
      <c r="R734" s="31">
        <v>0</v>
      </c>
      <c r="S734" s="31">
        <v>0</v>
      </c>
      <c r="T734" s="31" t="s">
        <v>46</v>
      </c>
      <c r="U734" s="31" t="s">
        <v>47</v>
      </c>
    </row>
    <row r="735" spans="1:21" x14ac:dyDescent="0.2">
      <c r="A735" s="31">
        <v>1.2184064377195964</v>
      </c>
      <c r="B735" s="46" t="s">
        <v>798</v>
      </c>
      <c r="C735" s="32">
        <v>0</v>
      </c>
      <c r="D735" s="32">
        <v>1</v>
      </c>
      <c r="E735" s="31">
        <v>0.50000000052480864</v>
      </c>
      <c r="F735" s="31">
        <v>0</v>
      </c>
      <c r="G735" s="31">
        <v>0</v>
      </c>
      <c r="H735" s="31">
        <v>0</v>
      </c>
      <c r="I735" s="48">
        <v>0</v>
      </c>
      <c r="J735" s="47" t="s">
        <v>799</v>
      </c>
      <c r="K735" s="32">
        <v>0</v>
      </c>
      <c r="L735" s="32">
        <v>1</v>
      </c>
      <c r="M735" s="31">
        <v>-0.50000000052480864</v>
      </c>
      <c r="N735" s="31">
        <v>0</v>
      </c>
      <c r="O735" s="31">
        <v>0</v>
      </c>
      <c r="P735" s="31">
        <v>0</v>
      </c>
      <c r="Q735" s="31">
        <v>0</v>
      </c>
      <c r="R735" s="31">
        <v>0</v>
      </c>
      <c r="S735" s="31">
        <v>0</v>
      </c>
      <c r="T735" s="31" t="s">
        <v>46</v>
      </c>
      <c r="U735" s="31" t="s">
        <v>46</v>
      </c>
    </row>
    <row r="736" spans="1:21" x14ac:dyDescent="0.2">
      <c r="A736" s="31">
        <v>1.2750765045902754</v>
      </c>
      <c r="B736" s="46" t="s">
        <v>800</v>
      </c>
      <c r="C736" s="32">
        <v>0</v>
      </c>
      <c r="D736" s="32">
        <v>1</v>
      </c>
      <c r="E736" s="31">
        <v>0.50000000052480864</v>
      </c>
      <c r="F736" s="31">
        <v>0</v>
      </c>
      <c r="G736" s="31">
        <v>0</v>
      </c>
      <c r="H736" s="31">
        <v>0</v>
      </c>
      <c r="I736" s="48">
        <v>0</v>
      </c>
      <c r="J736" s="47" t="s">
        <v>801</v>
      </c>
      <c r="K736" s="32">
        <v>0</v>
      </c>
      <c r="L736" s="32">
        <v>1</v>
      </c>
      <c r="M736" s="31">
        <v>-0.50000000052480864</v>
      </c>
      <c r="N736" s="31">
        <v>0</v>
      </c>
      <c r="O736" s="31">
        <v>0</v>
      </c>
      <c r="P736" s="31">
        <v>0</v>
      </c>
      <c r="Q736" s="31">
        <v>0</v>
      </c>
      <c r="R736" s="31">
        <v>0</v>
      </c>
      <c r="S736" s="31">
        <v>0</v>
      </c>
      <c r="T736" s="31" t="s">
        <v>46</v>
      </c>
      <c r="U736" s="31" t="s">
        <v>46</v>
      </c>
    </row>
    <row r="737" spans="1:21" x14ac:dyDescent="0.2">
      <c r="A737" s="31">
        <v>1.3034115380256148</v>
      </c>
      <c r="B737" s="46" t="s">
        <v>802</v>
      </c>
      <c r="C737" s="32">
        <v>0</v>
      </c>
      <c r="D737" s="32">
        <v>1</v>
      </c>
      <c r="E737" s="31">
        <v>0.50000000052480864</v>
      </c>
      <c r="F737" s="31">
        <v>0</v>
      </c>
      <c r="G737" s="31">
        <v>0</v>
      </c>
      <c r="H737" s="31">
        <v>0</v>
      </c>
      <c r="I737" s="48">
        <v>0</v>
      </c>
      <c r="J737" s="47" t="s">
        <v>803</v>
      </c>
      <c r="K737" s="32">
        <v>3.0000499999999999</v>
      </c>
      <c r="L737" s="32">
        <v>1</v>
      </c>
      <c r="M737" s="31">
        <v>-0.50000000052480864</v>
      </c>
      <c r="N737" s="31">
        <v>0</v>
      </c>
      <c r="O737" s="31">
        <v>0</v>
      </c>
      <c r="P737" s="31">
        <v>0</v>
      </c>
      <c r="Q737" s="31">
        <v>0</v>
      </c>
      <c r="R737" s="31">
        <v>0</v>
      </c>
      <c r="S737" s="31">
        <v>0</v>
      </c>
      <c r="T737" s="31" t="s">
        <v>46</v>
      </c>
      <c r="U737" s="31" t="s">
        <v>47</v>
      </c>
    </row>
    <row r="738" spans="1:21" x14ac:dyDescent="0.2">
      <c r="A738" s="31">
        <v>1.3317465714609542</v>
      </c>
      <c r="B738" s="46" t="s">
        <v>804</v>
      </c>
      <c r="C738" s="32">
        <v>0</v>
      </c>
      <c r="D738" s="32">
        <v>1</v>
      </c>
      <c r="E738" s="31">
        <v>0.50000000052480864</v>
      </c>
      <c r="F738" s="31">
        <v>0</v>
      </c>
      <c r="G738" s="31">
        <v>0</v>
      </c>
      <c r="H738" s="31">
        <v>0</v>
      </c>
      <c r="I738" s="48">
        <v>0</v>
      </c>
      <c r="J738" s="47" t="s">
        <v>805</v>
      </c>
      <c r="K738" s="32">
        <v>0</v>
      </c>
      <c r="L738" s="32">
        <v>1</v>
      </c>
      <c r="M738" s="31">
        <v>-0.50000000052480864</v>
      </c>
      <c r="N738" s="31">
        <v>0</v>
      </c>
      <c r="O738" s="31">
        <v>0</v>
      </c>
      <c r="P738" s="31">
        <v>0</v>
      </c>
      <c r="Q738" s="31">
        <v>0</v>
      </c>
      <c r="R738" s="31">
        <v>0</v>
      </c>
      <c r="S738" s="31">
        <v>0</v>
      </c>
      <c r="T738" s="31" t="s">
        <v>46</v>
      </c>
      <c r="U738" s="31" t="s">
        <v>46</v>
      </c>
    </row>
    <row r="739" spans="1:21" x14ac:dyDescent="0.2">
      <c r="A739" s="31">
        <v>1.3884166383316332</v>
      </c>
      <c r="B739" s="46" t="s">
        <v>806</v>
      </c>
      <c r="C739" s="32">
        <v>0</v>
      </c>
      <c r="D739" s="32">
        <v>1</v>
      </c>
      <c r="E739" s="31">
        <v>0.50000000052480864</v>
      </c>
      <c r="F739" s="31">
        <v>0</v>
      </c>
      <c r="G739" s="31">
        <v>0</v>
      </c>
      <c r="H739" s="31">
        <v>0</v>
      </c>
      <c r="I739" s="48">
        <v>0</v>
      </c>
      <c r="J739" s="47" t="s">
        <v>807</v>
      </c>
      <c r="K739" s="32">
        <v>3.0000499999999999</v>
      </c>
      <c r="L739" s="32">
        <v>1</v>
      </c>
      <c r="M739" s="31">
        <v>-0.50000000052480864</v>
      </c>
      <c r="N739" s="31">
        <v>0</v>
      </c>
      <c r="O739" s="31">
        <v>0</v>
      </c>
      <c r="P739" s="31">
        <v>0</v>
      </c>
      <c r="Q739" s="31">
        <v>0</v>
      </c>
      <c r="R739" s="31">
        <v>0</v>
      </c>
      <c r="S739" s="31">
        <v>0</v>
      </c>
      <c r="T739" s="31" t="s">
        <v>46</v>
      </c>
      <c r="U739" s="31" t="s">
        <v>47</v>
      </c>
    </row>
    <row r="740" spans="1:21" x14ac:dyDescent="0.2">
      <c r="A740" s="31">
        <v>1.4167516717669726</v>
      </c>
      <c r="B740" s="46" t="s">
        <v>808</v>
      </c>
      <c r="C740" s="32">
        <v>0</v>
      </c>
      <c r="D740" s="32">
        <v>1</v>
      </c>
      <c r="E740" s="31">
        <v>0.50000000052480864</v>
      </c>
      <c r="F740" s="31">
        <v>0</v>
      </c>
      <c r="G740" s="31">
        <v>0</v>
      </c>
      <c r="H740" s="31">
        <v>0</v>
      </c>
      <c r="I740" s="48">
        <v>0</v>
      </c>
      <c r="J740" s="47" t="s">
        <v>809</v>
      </c>
      <c r="K740" s="32">
        <v>3.0000499999999999</v>
      </c>
      <c r="L740" s="32">
        <v>1</v>
      </c>
      <c r="M740" s="31">
        <v>-0.50000000052480864</v>
      </c>
      <c r="N740" s="31">
        <v>0</v>
      </c>
      <c r="O740" s="31">
        <v>0</v>
      </c>
      <c r="P740" s="31">
        <v>0</v>
      </c>
      <c r="Q740" s="31">
        <v>0</v>
      </c>
      <c r="R740" s="31">
        <v>0</v>
      </c>
      <c r="S740" s="31">
        <v>0</v>
      </c>
      <c r="T740" s="31" t="s">
        <v>46</v>
      </c>
      <c r="U740" s="31" t="s">
        <v>47</v>
      </c>
    </row>
    <row r="741" spans="1:21" x14ac:dyDescent="0.2">
      <c r="A741" s="31">
        <v>0.41085798481242208</v>
      </c>
      <c r="B741" s="46" t="s">
        <v>810</v>
      </c>
      <c r="C741" s="32">
        <v>0</v>
      </c>
      <c r="D741" s="32">
        <v>1</v>
      </c>
      <c r="E741" s="31">
        <v>0.50000000052480864</v>
      </c>
      <c r="F741" s="31">
        <v>0</v>
      </c>
      <c r="G741" s="31">
        <v>0</v>
      </c>
      <c r="H741" s="31">
        <v>0</v>
      </c>
      <c r="I741" s="48">
        <v>0</v>
      </c>
      <c r="J741" s="47" t="s">
        <v>811</v>
      </c>
      <c r="K741" s="32">
        <v>0</v>
      </c>
      <c r="L741" s="32">
        <v>1</v>
      </c>
      <c r="M741" s="31">
        <v>-0.50000000052480864</v>
      </c>
      <c r="N741" s="31">
        <v>0</v>
      </c>
      <c r="O741" s="31">
        <v>0</v>
      </c>
      <c r="P741" s="31">
        <v>0</v>
      </c>
      <c r="Q741" s="31">
        <v>0</v>
      </c>
      <c r="R741" s="31">
        <v>0</v>
      </c>
      <c r="S741" s="31">
        <v>0</v>
      </c>
      <c r="T741" s="31" t="s">
        <v>46</v>
      </c>
      <c r="U741" s="31" t="s">
        <v>46</v>
      </c>
    </row>
    <row r="742" spans="1:21" x14ac:dyDescent="0.2">
      <c r="A742" s="31">
        <v>0.42502550153009178</v>
      </c>
      <c r="B742" s="46" t="s">
        <v>812</v>
      </c>
      <c r="C742" s="32">
        <v>0</v>
      </c>
      <c r="D742" s="32">
        <v>1</v>
      </c>
      <c r="E742" s="31">
        <v>0.50000000052480864</v>
      </c>
      <c r="F742" s="31">
        <v>0</v>
      </c>
      <c r="G742" s="31">
        <v>0</v>
      </c>
      <c r="H742" s="31">
        <v>0</v>
      </c>
      <c r="I742" s="48">
        <v>0</v>
      </c>
      <c r="J742" s="47" t="s">
        <v>813</v>
      </c>
      <c r="K742" s="32">
        <v>3.0000499999999999</v>
      </c>
      <c r="L742" s="32">
        <v>1</v>
      </c>
      <c r="M742" s="31">
        <v>-0.50000000052480864</v>
      </c>
      <c r="N742" s="31">
        <v>0</v>
      </c>
      <c r="O742" s="31">
        <v>0</v>
      </c>
      <c r="P742" s="31">
        <v>0</v>
      </c>
      <c r="Q742" s="31">
        <v>0</v>
      </c>
      <c r="R742" s="31">
        <v>0</v>
      </c>
      <c r="S742" s="31">
        <v>0</v>
      </c>
      <c r="T742" s="31" t="s">
        <v>46</v>
      </c>
      <c r="U742" s="31" t="s">
        <v>46</v>
      </c>
    </row>
    <row r="743" spans="1:21" x14ac:dyDescent="0.2">
      <c r="A743" s="31">
        <v>0.43919301824776152</v>
      </c>
      <c r="B743" s="46" t="s">
        <v>814</v>
      </c>
      <c r="C743" s="32">
        <v>0</v>
      </c>
      <c r="D743" s="32">
        <v>1</v>
      </c>
      <c r="E743" s="31">
        <v>0.50000000052480864</v>
      </c>
      <c r="F743" s="31">
        <v>0</v>
      </c>
      <c r="G743" s="31">
        <v>0</v>
      </c>
      <c r="H743" s="31">
        <v>0</v>
      </c>
      <c r="I743" s="48">
        <v>0</v>
      </c>
      <c r="J743" s="47" t="s">
        <v>815</v>
      </c>
      <c r="K743" s="32">
        <v>0</v>
      </c>
      <c r="L743" s="32">
        <v>1</v>
      </c>
      <c r="M743" s="31">
        <v>-0.50000000052480864</v>
      </c>
      <c r="N743" s="31">
        <v>0</v>
      </c>
      <c r="O743" s="31">
        <v>0</v>
      </c>
      <c r="P743" s="31">
        <v>0</v>
      </c>
      <c r="Q743" s="31">
        <v>0</v>
      </c>
      <c r="R743" s="31">
        <v>0</v>
      </c>
      <c r="S743" s="31">
        <v>0</v>
      </c>
      <c r="T743" s="31" t="s">
        <v>46</v>
      </c>
      <c r="U743" s="31" t="s">
        <v>46</v>
      </c>
    </row>
    <row r="744" spans="1:21" x14ac:dyDescent="0.2">
      <c r="A744" s="31">
        <v>0.45336053496543122</v>
      </c>
      <c r="B744" s="46" t="s">
        <v>816</v>
      </c>
      <c r="C744" s="32">
        <v>0</v>
      </c>
      <c r="D744" s="32">
        <v>1</v>
      </c>
      <c r="E744" s="31">
        <v>0.50000000052480864</v>
      </c>
      <c r="F744" s="31">
        <v>0</v>
      </c>
      <c r="G744" s="31">
        <v>0</v>
      </c>
      <c r="H744" s="31">
        <v>0</v>
      </c>
      <c r="I744" s="48">
        <v>0</v>
      </c>
      <c r="J744" s="47" t="s">
        <v>817</v>
      </c>
      <c r="K744" s="32">
        <v>0</v>
      </c>
      <c r="L744" s="32">
        <v>1</v>
      </c>
      <c r="M744" s="31">
        <v>-0.50000000052480864</v>
      </c>
      <c r="N744" s="31">
        <v>0</v>
      </c>
      <c r="O744" s="31">
        <v>0</v>
      </c>
      <c r="P744" s="31">
        <v>0</v>
      </c>
      <c r="Q744" s="31">
        <v>0</v>
      </c>
      <c r="R744" s="31">
        <v>0</v>
      </c>
      <c r="S744" s="31">
        <v>0</v>
      </c>
      <c r="T744" s="31" t="s">
        <v>46</v>
      </c>
      <c r="U744" s="31" t="s">
        <v>46</v>
      </c>
    </row>
    <row r="745" spans="1:21" x14ac:dyDescent="0.2">
      <c r="A745" s="31">
        <v>0.46752805168310096</v>
      </c>
      <c r="B745" s="46" t="s">
        <v>818</v>
      </c>
      <c r="C745" s="32">
        <v>0</v>
      </c>
      <c r="D745" s="32">
        <v>1</v>
      </c>
      <c r="E745" s="31">
        <v>0.50000000052480864</v>
      </c>
      <c r="F745" s="31">
        <v>0</v>
      </c>
      <c r="G745" s="31">
        <v>0</v>
      </c>
      <c r="H745" s="31">
        <v>0</v>
      </c>
      <c r="I745" s="48">
        <v>0</v>
      </c>
      <c r="J745" s="47" t="s">
        <v>819</v>
      </c>
      <c r="K745" s="32">
        <v>0</v>
      </c>
      <c r="L745" s="32">
        <v>1</v>
      </c>
      <c r="M745" s="31">
        <v>-0.50000000052480864</v>
      </c>
      <c r="N745" s="31">
        <v>0</v>
      </c>
      <c r="O745" s="31">
        <v>0</v>
      </c>
      <c r="P745" s="31">
        <v>0</v>
      </c>
      <c r="Q745" s="31">
        <v>0</v>
      </c>
      <c r="R745" s="31">
        <v>0</v>
      </c>
      <c r="S745" s="31">
        <v>0</v>
      </c>
      <c r="T745" s="31" t="s">
        <v>46</v>
      </c>
      <c r="U745" s="31" t="s">
        <v>46</v>
      </c>
    </row>
    <row r="746" spans="1:21" x14ac:dyDescent="0.2">
      <c r="A746" s="31">
        <v>0.48169556840077071</v>
      </c>
      <c r="B746" s="46" t="s">
        <v>820</v>
      </c>
      <c r="C746" s="32">
        <v>0</v>
      </c>
      <c r="D746" s="32">
        <v>1</v>
      </c>
      <c r="E746" s="31">
        <v>0.50000000052480864</v>
      </c>
      <c r="F746" s="31">
        <v>0</v>
      </c>
      <c r="G746" s="31">
        <v>0</v>
      </c>
      <c r="H746" s="31">
        <v>0</v>
      </c>
      <c r="I746" s="48">
        <v>0</v>
      </c>
      <c r="J746" s="47" t="s">
        <v>821</v>
      </c>
      <c r="K746" s="32">
        <v>0</v>
      </c>
      <c r="L746" s="32">
        <v>1</v>
      </c>
      <c r="M746" s="31">
        <v>-0.50000000052480864</v>
      </c>
      <c r="N746" s="31">
        <v>0</v>
      </c>
      <c r="O746" s="31">
        <v>0</v>
      </c>
      <c r="P746" s="31">
        <v>0</v>
      </c>
      <c r="Q746" s="31">
        <v>0</v>
      </c>
      <c r="R746" s="31">
        <v>0</v>
      </c>
      <c r="S746" s="31">
        <v>0</v>
      </c>
      <c r="T746" s="31" t="s">
        <v>46</v>
      </c>
      <c r="U746" s="31" t="s">
        <v>46</v>
      </c>
    </row>
    <row r="747" spans="1:21" x14ac:dyDescent="0.2">
      <c r="A747" s="31">
        <v>0.49586308511844041</v>
      </c>
      <c r="B747" s="46" t="s">
        <v>822</v>
      </c>
      <c r="C747" s="32">
        <v>0</v>
      </c>
      <c r="D747" s="32">
        <v>1</v>
      </c>
      <c r="E747" s="31">
        <v>0.50000000052480864</v>
      </c>
      <c r="F747" s="31">
        <v>0</v>
      </c>
      <c r="G747" s="31">
        <v>0</v>
      </c>
      <c r="H747" s="31">
        <v>0</v>
      </c>
      <c r="I747" s="48">
        <v>0</v>
      </c>
      <c r="J747" s="47" t="s">
        <v>823</v>
      </c>
      <c r="K747" s="32">
        <v>3.0000499999999999</v>
      </c>
      <c r="L747" s="32">
        <v>1</v>
      </c>
      <c r="M747" s="31">
        <v>-0.50000000052480864</v>
      </c>
      <c r="N747" s="31">
        <v>0</v>
      </c>
      <c r="O747" s="31">
        <v>0</v>
      </c>
      <c r="P747" s="31">
        <v>0</v>
      </c>
      <c r="Q747" s="31">
        <v>0</v>
      </c>
      <c r="R747" s="31">
        <v>0</v>
      </c>
      <c r="S747" s="31">
        <v>0</v>
      </c>
      <c r="T747" s="31" t="s">
        <v>46</v>
      </c>
      <c r="U747" s="31" t="s">
        <v>46</v>
      </c>
    </row>
    <row r="748" spans="1:21" x14ac:dyDescent="0.2">
      <c r="A748" s="31">
        <v>0.51003060183611015</v>
      </c>
      <c r="B748" s="46" t="s">
        <v>824</v>
      </c>
      <c r="C748" s="32">
        <v>0</v>
      </c>
      <c r="D748" s="32">
        <v>1</v>
      </c>
      <c r="E748" s="31">
        <v>0.50000000052480864</v>
      </c>
      <c r="F748" s="31">
        <v>0</v>
      </c>
      <c r="G748" s="31">
        <v>0</v>
      </c>
      <c r="H748" s="31">
        <v>0</v>
      </c>
      <c r="I748" s="48">
        <v>0</v>
      </c>
      <c r="J748" s="47" t="s">
        <v>825</v>
      </c>
      <c r="K748" s="32">
        <v>0</v>
      </c>
      <c r="L748" s="32">
        <v>1</v>
      </c>
      <c r="M748" s="31">
        <v>-0.50000000052480864</v>
      </c>
      <c r="N748" s="31">
        <v>0</v>
      </c>
      <c r="O748" s="31">
        <v>0</v>
      </c>
      <c r="P748" s="31">
        <v>0</v>
      </c>
      <c r="Q748" s="31">
        <v>0</v>
      </c>
      <c r="R748" s="31">
        <v>0</v>
      </c>
      <c r="S748" s="31">
        <v>0</v>
      </c>
      <c r="T748" s="31" t="s">
        <v>46</v>
      </c>
      <c r="U748" s="31" t="s">
        <v>46</v>
      </c>
    </row>
    <row r="749" spans="1:21" x14ac:dyDescent="0.2">
      <c r="A749" s="31">
        <v>0.52419811855377985</v>
      </c>
      <c r="B749" s="46" t="s">
        <v>826</v>
      </c>
      <c r="C749" s="32">
        <v>0</v>
      </c>
      <c r="D749" s="32">
        <v>1</v>
      </c>
      <c r="E749" s="31">
        <v>0.50000000052480864</v>
      </c>
      <c r="F749" s="31">
        <v>0</v>
      </c>
      <c r="G749" s="31">
        <v>0</v>
      </c>
      <c r="H749" s="31">
        <v>0</v>
      </c>
      <c r="I749" s="48">
        <v>0</v>
      </c>
      <c r="J749" s="47" t="s">
        <v>827</v>
      </c>
      <c r="K749" s="32">
        <v>0</v>
      </c>
      <c r="L749" s="32">
        <v>1</v>
      </c>
      <c r="M749" s="31">
        <v>-0.50000000052480864</v>
      </c>
      <c r="N749" s="31">
        <v>0</v>
      </c>
      <c r="O749" s="31">
        <v>0</v>
      </c>
      <c r="P749" s="31">
        <v>0</v>
      </c>
      <c r="Q749" s="31">
        <v>0</v>
      </c>
      <c r="R749" s="31">
        <v>0</v>
      </c>
      <c r="S749" s="31">
        <v>0</v>
      </c>
      <c r="T749" s="31" t="s">
        <v>46</v>
      </c>
      <c r="U749" s="31" t="s">
        <v>46</v>
      </c>
    </row>
    <row r="750" spans="1:21" x14ac:dyDescent="0.2">
      <c r="A750" s="31">
        <v>0.53836563527144965</v>
      </c>
      <c r="B750" s="46" t="s">
        <v>828</v>
      </c>
      <c r="C750" s="32">
        <v>0</v>
      </c>
      <c r="D750" s="32">
        <v>1</v>
      </c>
      <c r="E750" s="31">
        <v>0.50000000052480864</v>
      </c>
      <c r="F750" s="31">
        <v>0</v>
      </c>
      <c r="G750" s="31">
        <v>0</v>
      </c>
      <c r="H750" s="31">
        <v>0</v>
      </c>
      <c r="I750" s="48">
        <v>0</v>
      </c>
      <c r="J750" s="47" t="s">
        <v>829</v>
      </c>
      <c r="K750" s="32">
        <v>0</v>
      </c>
      <c r="L750" s="32">
        <v>1</v>
      </c>
      <c r="M750" s="31">
        <v>-0.50000000052480864</v>
      </c>
      <c r="N750" s="31">
        <v>0</v>
      </c>
      <c r="O750" s="31">
        <v>0</v>
      </c>
      <c r="P750" s="31">
        <v>0</v>
      </c>
      <c r="Q750" s="31">
        <v>0</v>
      </c>
      <c r="R750" s="31">
        <v>0</v>
      </c>
      <c r="S750" s="31">
        <v>0</v>
      </c>
      <c r="T750" s="31" t="s">
        <v>46</v>
      </c>
      <c r="U750" s="31" t="s">
        <v>46</v>
      </c>
    </row>
    <row r="751" spans="1:21" x14ac:dyDescent="0.2">
      <c r="A751" s="31">
        <v>0.55253315198911934</v>
      </c>
      <c r="B751" s="46" t="s">
        <v>830</v>
      </c>
      <c r="C751" s="32">
        <v>0</v>
      </c>
      <c r="D751" s="32">
        <v>1</v>
      </c>
      <c r="E751" s="31">
        <v>0.50000000052480864</v>
      </c>
      <c r="F751" s="31">
        <v>0</v>
      </c>
      <c r="G751" s="31">
        <v>0</v>
      </c>
      <c r="H751" s="31">
        <v>0</v>
      </c>
      <c r="I751" s="48">
        <v>0</v>
      </c>
      <c r="J751" s="47" t="s">
        <v>831</v>
      </c>
      <c r="K751" s="32">
        <v>0</v>
      </c>
      <c r="L751" s="32">
        <v>1</v>
      </c>
      <c r="M751" s="31">
        <v>-0.50000000052480864</v>
      </c>
      <c r="N751" s="31">
        <v>0</v>
      </c>
      <c r="O751" s="31">
        <v>0</v>
      </c>
      <c r="P751" s="31">
        <v>0</v>
      </c>
      <c r="Q751" s="31">
        <v>0</v>
      </c>
      <c r="R751" s="31">
        <v>0</v>
      </c>
      <c r="S751" s="31">
        <v>0</v>
      </c>
      <c r="T751" s="31" t="s">
        <v>46</v>
      </c>
      <c r="U751" s="31" t="s">
        <v>46</v>
      </c>
    </row>
    <row r="752" spans="1:21" x14ac:dyDescent="0.2">
      <c r="A752" s="31">
        <v>0.56670066870678903</v>
      </c>
      <c r="B752" s="46" t="s">
        <v>832</v>
      </c>
      <c r="C752" s="32">
        <v>0</v>
      </c>
      <c r="D752" s="32">
        <v>1</v>
      </c>
      <c r="E752" s="31">
        <v>0.50000000052480864</v>
      </c>
      <c r="F752" s="31">
        <v>0</v>
      </c>
      <c r="G752" s="31">
        <v>0</v>
      </c>
      <c r="H752" s="31">
        <v>0</v>
      </c>
      <c r="I752" s="48">
        <v>0</v>
      </c>
      <c r="J752" s="47" t="s">
        <v>833</v>
      </c>
      <c r="K752" s="32">
        <v>0</v>
      </c>
      <c r="L752" s="32">
        <v>1</v>
      </c>
      <c r="M752" s="31">
        <v>-0.50000000052480864</v>
      </c>
      <c r="N752" s="31">
        <v>0</v>
      </c>
      <c r="O752" s="31">
        <v>0</v>
      </c>
      <c r="P752" s="31">
        <v>0</v>
      </c>
      <c r="Q752" s="31">
        <v>0</v>
      </c>
      <c r="R752" s="31">
        <v>0</v>
      </c>
      <c r="S752" s="31">
        <v>0</v>
      </c>
      <c r="T752" s="31" t="s">
        <v>46</v>
      </c>
      <c r="U752" s="31" t="s">
        <v>46</v>
      </c>
    </row>
    <row r="753" spans="1:21" x14ac:dyDescent="0.2">
      <c r="A753" s="31">
        <v>0.58086818542445873</v>
      </c>
      <c r="B753" s="46" t="s">
        <v>834</v>
      </c>
      <c r="C753" s="32">
        <v>0</v>
      </c>
      <c r="D753" s="32">
        <v>1</v>
      </c>
      <c r="E753" s="31">
        <v>0.50000000052480864</v>
      </c>
      <c r="F753" s="31">
        <v>0</v>
      </c>
      <c r="G753" s="31">
        <v>0</v>
      </c>
      <c r="H753" s="31">
        <v>0</v>
      </c>
      <c r="I753" s="48">
        <v>0</v>
      </c>
      <c r="J753" s="47" t="s">
        <v>835</v>
      </c>
      <c r="K753" s="32">
        <v>0</v>
      </c>
      <c r="L753" s="32">
        <v>1</v>
      </c>
      <c r="M753" s="31">
        <v>-0.50000000052480864</v>
      </c>
      <c r="N753" s="31">
        <v>0</v>
      </c>
      <c r="O753" s="31">
        <v>0</v>
      </c>
      <c r="P753" s="31">
        <v>0</v>
      </c>
      <c r="Q753" s="31">
        <v>0</v>
      </c>
      <c r="R753" s="31">
        <v>0</v>
      </c>
      <c r="S753" s="31">
        <v>0</v>
      </c>
      <c r="T753" s="31" t="s">
        <v>46</v>
      </c>
      <c r="U753" s="31" t="s">
        <v>46</v>
      </c>
    </row>
    <row r="754" spans="1:21" x14ac:dyDescent="0.2">
      <c r="A754" s="31">
        <v>0.59503570214212853</v>
      </c>
      <c r="B754" s="46" t="s">
        <v>836</v>
      </c>
      <c r="C754" s="32">
        <v>0</v>
      </c>
      <c r="D754" s="32">
        <v>1</v>
      </c>
      <c r="E754" s="31">
        <v>0.50000000052480864</v>
      </c>
      <c r="F754" s="31">
        <v>0</v>
      </c>
      <c r="G754" s="31">
        <v>0</v>
      </c>
      <c r="H754" s="31">
        <v>0</v>
      </c>
      <c r="I754" s="48">
        <v>0</v>
      </c>
      <c r="J754" s="47" t="s">
        <v>837</v>
      </c>
      <c r="K754" s="32">
        <v>0</v>
      </c>
      <c r="L754" s="32">
        <v>1</v>
      </c>
      <c r="M754" s="31">
        <v>-0.50000000052480864</v>
      </c>
      <c r="N754" s="31">
        <v>0</v>
      </c>
      <c r="O754" s="31">
        <v>0</v>
      </c>
      <c r="P754" s="31">
        <v>0</v>
      </c>
      <c r="Q754" s="31">
        <v>0</v>
      </c>
      <c r="R754" s="31">
        <v>0</v>
      </c>
      <c r="S754" s="31">
        <v>0</v>
      </c>
      <c r="T754" s="31" t="s">
        <v>46</v>
      </c>
      <c r="U754" s="31" t="s">
        <v>46</v>
      </c>
    </row>
    <row r="755" spans="1:21" x14ac:dyDescent="0.2">
      <c r="A755" s="31">
        <v>0.60920321885979822</v>
      </c>
      <c r="B755" s="46" t="s">
        <v>838</v>
      </c>
      <c r="C755" s="32">
        <v>0</v>
      </c>
      <c r="D755" s="32">
        <v>1</v>
      </c>
      <c r="E755" s="31">
        <v>0.50000000052480864</v>
      </c>
      <c r="F755" s="31">
        <v>0</v>
      </c>
      <c r="G755" s="31">
        <v>0</v>
      </c>
      <c r="H755" s="31">
        <v>0</v>
      </c>
      <c r="I755" s="48">
        <v>0</v>
      </c>
      <c r="J755" s="47" t="s">
        <v>839</v>
      </c>
      <c r="K755" s="32">
        <v>0</v>
      </c>
      <c r="L755" s="32">
        <v>1</v>
      </c>
      <c r="M755" s="31">
        <v>-0.50000000052480864</v>
      </c>
      <c r="N755" s="31">
        <v>0</v>
      </c>
      <c r="O755" s="31">
        <v>0</v>
      </c>
      <c r="P755" s="31">
        <v>0</v>
      </c>
      <c r="Q755" s="31">
        <v>0</v>
      </c>
      <c r="R755" s="31">
        <v>0</v>
      </c>
      <c r="S755" s="31">
        <v>0</v>
      </c>
      <c r="T755" s="31" t="s">
        <v>46</v>
      </c>
      <c r="U755" s="31" t="s">
        <v>46</v>
      </c>
    </row>
    <row r="756" spans="1:21" x14ac:dyDescent="0.2">
      <c r="A756" s="31">
        <v>0.62337073557746792</v>
      </c>
      <c r="B756" s="46" t="s">
        <v>840</v>
      </c>
      <c r="C756" s="32">
        <v>0</v>
      </c>
      <c r="D756" s="32">
        <v>1</v>
      </c>
      <c r="E756" s="31">
        <v>0.50000000052480864</v>
      </c>
      <c r="F756" s="31">
        <v>0</v>
      </c>
      <c r="G756" s="31">
        <v>0</v>
      </c>
      <c r="H756" s="31">
        <v>0</v>
      </c>
      <c r="I756" s="48">
        <v>0</v>
      </c>
      <c r="J756" s="47" t="s">
        <v>841</v>
      </c>
      <c r="K756" s="32">
        <v>0</v>
      </c>
      <c r="L756" s="32">
        <v>1</v>
      </c>
      <c r="M756" s="31">
        <v>-0.50000000052480864</v>
      </c>
      <c r="N756" s="31">
        <v>0</v>
      </c>
      <c r="O756" s="31">
        <v>0</v>
      </c>
      <c r="P756" s="31">
        <v>0</v>
      </c>
      <c r="Q756" s="31">
        <v>0</v>
      </c>
      <c r="R756" s="31">
        <v>0</v>
      </c>
      <c r="S756" s="31">
        <v>0</v>
      </c>
      <c r="T756" s="31" t="s">
        <v>46</v>
      </c>
      <c r="U756" s="31" t="s">
        <v>46</v>
      </c>
    </row>
    <row r="757" spans="1:21" x14ac:dyDescent="0.2">
      <c r="A757" s="31">
        <v>0.63753825229513772</v>
      </c>
      <c r="B757" s="46" t="s">
        <v>842</v>
      </c>
      <c r="C757" s="32">
        <v>0</v>
      </c>
      <c r="D757" s="32">
        <v>1</v>
      </c>
      <c r="E757" s="31">
        <v>0.50000000052480864</v>
      </c>
      <c r="F757" s="31">
        <v>0</v>
      </c>
      <c r="G757" s="31">
        <v>0</v>
      </c>
      <c r="H757" s="31">
        <v>0</v>
      </c>
      <c r="I757" s="48">
        <v>0</v>
      </c>
      <c r="J757" s="47" t="s">
        <v>843</v>
      </c>
      <c r="K757" s="32">
        <v>0</v>
      </c>
      <c r="L757" s="32">
        <v>1</v>
      </c>
      <c r="M757" s="31">
        <v>-0.50000000052480864</v>
      </c>
      <c r="N757" s="31">
        <v>0</v>
      </c>
      <c r="O757" s="31">
        <v>0</v>
      </c>
      <c r="P757" s="31">
        <v>0</v>
      </c>
      <c r="Q757" s="31">
        <v>0</v>
      </c>
      <c r="R757" s="31">
        <v>0</v>
      </c>
      <c r="S757" s="31">
        <v>0</v>
      </c>
      <c r="T757" s="31" t="s">
        <v>46</v>
      </c>
      <c r="U757" s="31" t="s">
        <v>46</v>
      </c>
    </row>
    <row r="758" spans="1:21" x14ac:dyDescent="0.2">
      <c r="A758" s="31">
        <v>0.65170576901280741</v>
      </c>
      <c r="B758" s="46" t="s">
        <v>844</v>
      </c>
      <c r="C758" s="32">
        <v>0</v>
      </c>
      <c r="D758" s="32">
        <v>1</v>
      </c>
      <c r="E758" s="31">
        <v>0.50000000052480864</v>
      </c>
      <c r="F758" s="31">
        <v>0</v>
      </c>
      <c r="G758" s="31">
        <v>0</v>
      </c>
      <c r="H758" s="31">
        <v>0</v>
      </c>
      <c r="I758" s="48">
        <v>0</v>
      </c>
      <c r="J758" s="47" t="s">
        <v>845</v>
      </c>
      <c r="K758" s="32">
        <v>0</v>
      </c>
      <c r="L758" s="32">
        <v>1</v>
      </c>
      <c r="M758" s="31">
        <v>-0.50000000052480864</v>
      </c>
      <c r="N758" s="31">
        <v>0</v>
      </c>
      <c r="O758" s="31">
        <v>0</v>
      </c>
      <c r="P758" s="31">
        <v>0</v>
      </c>
      <c r="Q758" s="31">
        <v>0</v>
      </c>
      <c r="R758" s="31">
        <v>0</v>
      </c>
      <c r="S758" s="31">
        <v>0</v>
      </c>
      <c r="T758" s="31" t="s">
        <v>46</v>
      </c>
      <c r="U758" s="31" t="s">
        <v>46</v>
      </c>
    </row>
    <row r="759" spans="1:21" x14ac:dyDescent="0.2">
      <c r="A759" s="31">
        <v>0.6658732857304771</v>
      </c>
      <c r="B759" s="46" t="s">
        <v>846</v>
      </c>
      <c r="C759" s="32">
        <v>0</v>
      </c>
      <c r="D759" s="32">
        <v>1</v>
      </c>
      <c r="E759" s="31">
        <v>0.50000000052480864</v>
      </c>
      <c r="F759" s="31">
        <v>0</v>
      </c>
      <c r="G759" s="31">
        <v>0</v>
      </c>
      <c r="H759" s="31">
        <v>0</v>
      </c>
      <c r="I759" s="48">
        <v>0</v>
      </c>
      <c r="J759" s="47" t="s">
        <v>847</v>
      </c>
      <c r="K759" s="32">
        <v>0</v>
      </c>
      <c r="L759" s="32">
        <v>1</v>
      </c>
      <c r="M759" s="31">
        <v>-0.50000000052480864</v>
      </c>
      <c r="N759" s="31">
        <v>0</v>
      </c>
      <c r="O759" s="31">
        <v>0</v>
      </c>
      <c r="P759" s="31">
        <v>0</v>
      </c>
      <c r="Q759" s="31">
        <v>0</v>
      </c>
      <c r="R759" s="31">
        <v>0</v>
      </c>
      <c r="S759" s="31">
        <v>0</v>
      </c>
      <c r="T759" s="31" t="s">
        <v>46</v>
      </c>
      <c r="U759" s="31" t="s">
        <v>46</v>
      </c>
    </row>
    <row r="760" spans="1:21" x14ac:dyDescent="0.2">
      <c r="A760" s="31">
        <v>0.68004080244814691</v>
      </c>
      <c r="B760" s="46" t="s">
        <v>848</v>
      </c>
      <c r="C760" s="32">
        <v>0</v>
      </c>
      <c r="D760" s="32">
        <v>1</v>
      </c>
      <c r="E760" s="31">
        <v>0.50000000052480864</v>
      </c>
      <c r="F760" s="31">
        <v>0</v>
      </c>
      <c r="G760" s="31">
        <v>0</v>
      </c>
      <c r="H760" s="31">
        <v>0</v>
      </c>
      <c r="I760" s="48">
        <v>0</v>
      </c>
      <c r="J760" s="47" t="s">
        <v>849</v>
      </c>
      <c r="K760" s="32">
        <v>0</v>
      </c>
      <c r="L760" s="32">
        <v>1</v>
      </c>
      <c r="M760" s="31">
        <v>-0.50000000052480864</v>
      </c>
      <c r="N760" s="31">
        <v>0</v>
      </c>
      <c r="O760" s="31">
        <v>0</v>
      </c>
      <c r="P760" s="31">
        <v>0</v>
      </c>
      <c r="Q760" s="31">
        <v>0</v>
      </c>
      <c r="R760" s="31">
        <v>0</v>
      </c>
      <c r="S760" s="31">
        <v>0</v>
      </c>
      <c r="T760" s="31" t="s">
        <v>46</v>
      </c>
      <c r="U760" s="31" t="s">
        <v>46</v>
      </c>
    </row>
    <row r="761" spans="1:21" x14ac:dyDescent="0.2">
      <c r="A761" s="31">
        <v>0.6942083191658166</v>
      </c>
      <c r="B761" s="46" t="s">
        <v>850</v>
      </c>
      <c r="C761" s="32">
        <v>0</v>
      </c>
      <c r="D761" s="32">
        <v>1</v>
      </c>
      <c r="E761" s="31">
        <v>0.50000000052480864</v>
      </c>
      <c r="F761" s="31">
        <v>0</v>
      </c>
      <c r="G761" s="31">
        <v>0</v>
      </c>
      <c r="H761" s="31">
        <v>0</v>
      </c>
      <c r="I761" s="48">
        <v>0</v>
      </c>
      <c r="J761" s="47" t="s">
        <v>851</v>
      </c>
      <c r="K761" s="32">
        <v>0</v>
      </c>
      <c r="L761" s="32">
        <v>1</v>
      </c>
      <c r="M761" s="31">
        <v>-0.50000000052480864</v>
      </c>
      <c r="N761" s="31">
        <v>0</v>
      </c>
      <c r="O761" s="31">
        <v>0</v>
      </c>
      <c r="P761" s="31">
        <v>0</v>
      </c>
      <c r="Q761" s="31">
        <v>0</v>
      </c>
      <c r="R761" s="31">
        <v>0</v>
      </c>
      <c r="S761" s="31">
        <v>0</v>
      </c>
      <c r="T761" s="31" t="s">
        <v>46</v>
      </c>
      <c r="U761" s="31" t="s">
        <v>46</v>
      </c>
    </row>
    <row r="762" spans="1:21" x14ac:dyDescent="0.2">
      <c r="A762" s="31">
        <v>0.70837583588348629</v>
      </c>
      <c r="B762" s="46" t="s">
        <v>852</v>
      </c>
      <c r="C762" s="32">
        <v>0</v>
      </c>
      <c r="D762" s="32">
        <v>1</v>
      </c>
      <c r="E762" s="31">
        <v>0.50000000052480864</v>
      </c>
      <c r="F762" s="31">
        <v>0</v>
      </c>
      <c r="G762" s="31">
        <v>0</v>
      </c>
      <c r="H762" s="31">
        <v>0</v>
      </c>
      <c r="I762" s="48">
        <v>0</v>
      </c>
      <c r="J762" s="47" t="s">
        <v>853</v>
      </c>
      <c r="K762" s="32">
        <v>0</v>
      </c>
      <c r="L762" s="32">
        <v>1</v>
      </c>
      <c r="M762" s="31">
        <v>-0.50000000052480864</v>
      </c>
      <c r="N762" s="31">
        <v>0</v>
      </c>
      <c r="O762" s="31">
        <v>0</v>
      </c>
      <c r="P762" s="31">
        <v>0</v>
      </c>
      <c r="Q762" s="31">
        <v>0</v>
      </c>
      <c r="R762" s="31">
        <v>0</v>
      </c>
      <c r="S762" s="31">
        <v>0</v>
      </c>
      <c r="T762" s="31" t="s">
        <v>46</v>
      </c>
      <c r="U762" s="31" t="s">
        <v>46</v>
      </c>
    </row>
    <row r="763" spans="1:21" x14ac:dyDescent="0.2">
      <c r="A763" s="31">
        <v>0.7154595942423212</v>
      </c>
      <c r="B763" s="46" t="s">
        <v>854</v>
      </c>
      <c r="C763" s="32">
        <v>0</v>
      </c>
      <c r="D763" s="32">
        <v>1</v>
      </c>
      <c r="E763" s="31">
        <v>0.50000000052480864</v>
      </c>
      <c r="F763" s="31">
        <v>0</v>
      </c>
      <c r="G763" s="31">
        <v>0</v>
      </c>
      <c r="H763" s="31">
        <v>0</v>
      </c>
      <c r="I763" s="48">
        <v>0</v>
      </c>
      <c r="J763" s="47" t="s">
        <v>855</v>
      </c>
      <c r="K763" s="32">
        <v>0</v>
      </c>
      <c r="L763" s="32">
        <v>1</v>
      </c>
      <c r="M763" s="31">
        <v>-0.50000000052480864</v>
      </c>
      <c r="N763" s="31">
        <v>0</v>
      </c>
      <c r="O763" s="31">
        <v>0</v>
      </c>
      <c r="P763" s="31">
        <v>0</v>
      </c>
      <c r="Q763" s="31">
        <v>0</v>
      </c>
      <c r="R763" s="31">
        <v>0</v>
      </c>
      <c r="S763" s="31">
        <v>0</v>
      </c>
      <c r="T763" s="31" t="s">
        <v>46</v>
      </c>
      <c r="U763" s="31" t="s">
        <v>46</v>
      </c>
    </row>
    <row r="764" spans="1:21" x14ac:dyDescent="0.2">
      <c r="A764" s="31">
        <v>0.72254335260115599</v>
      </c>
      <c r="B764" s="46" t="s">
        <v>856</v>
      </c>
      <c r="C764" s="32">
        <v>0</v>
      </c>
      <c r="D764" s="32">
        <v>1</v>
      </c>
      <c r="E764" s="31">
        <v>0.50000000052480864</v>
      </c>
      <c r="F764" s="31">
        <v>0</v>
      </c>
      <c r="G764" s="31">
        <v>0</v>
      </c>
      <c r="H764" s="31">
        <v>0</v>
      </c>
      <c r="I764" s="48">
        <v>0</v>
      </c>
      <c r="J764" s="47" t="s">
        <v>857</v>
      </c>
      <c r="K764" s="32">
        <v>0</v>
      </c>
      <c r="L764" s="32">
        <v>1</v>
      </c>
      <c r="M764" s="31">
        <v>-0.50000000052480864</v>
      </c>
      <c r="N764" s="31">
        <v>0</v>
      </c>
      <c r="O764" s="31">
        <v>0</v>
      </c>
      <c r="P764" s="31">
        <v>0</v>
      </c>
      <c r="Q764" s="31">
        <v>0</v>
      </c>
      <c r="R764" s="31">
        <v>0</v>
      </c>
      <c r="S764" s="31">
        <v>0</v>
      </c>
      <c r="T764" s="31" t="s">
        <v>46</v>
      </c>
      <c r="U764" s="31" t="s">
        <v>46</v>
      </c>
    </row>
    <row r="765" spans="1:21" x14ac:dyDescent="0.2">
      <c r="A765" s="31">
        <v>0.72962711095999089</v>
      </c>
      <c r="B765" s="46" t="s">
        <v>858</v>
      </c>
      <c r="C765" s="32">
        <v>0</v>
      </c>
      <c r="D765" s="32">
        <v>1</v>
      </c>
      <c r="E765" s="31">
        <v>0.50000000052480864</v>
      </c>
      <c r="F765" s="31">
        <v>0</v>
      </c>
      <c r="G765" s="31">
        <v>0</v>
      </c>
      <c r="H765" s="31">
        <v>0</v>
      </c>
      <c r="I765" s="48">
        <v>0</v>
      </c>
      <c r="J765" s="47" t="s">
        <v>859</v>
      </c>
      <c r="K765" s="32">
        <v>0</v>
      </c>
      <c r="L765" s="32">
        <v>1</v>
      </c>
      <c r="M765" s="31">
        <v>-0.50000000052480864</v>
      </c>
      <c r="N765" s="31">
        <v>0</v>
      </c>
      <c r="O765" s="31">
        <v>0</v>
      </c>
      <c r="P765" s="31">
        <v>0</v>
      </c>
      <c r="Q765" s="31">
        <v>0</v>
      </c>
      <c r="R765" s="31">
        <v>0</v>
      </c>
      <c r="S765" s="31">
        <v>0</v>
      </c>
      <c r="T765" s="31" t="s">
        <v>46</v>
      </c>
      <c r="U765" s="31" t="s">
        <v>46</v>
      </c>
    </row>
    <row r="766" spans="1:21" x14ac:dyDescent="0.2">
      <c r="A766" s="31">
        <v>0.73671086931882579</v>
      </c>
      <c r="B766" s="46" t="s">
        <v>860</v>
      </c>
      <c r="C766" s="32">
        <v>0</v>
      </c>
      <c r="D766" s="32">
        <v>1</v>
      </c>
      <c r="E766" s="31">
        <v>0.50000000052480864</v>
      </c>
      <c r="F766" s="31">
        <v>0</v>
      </c>
      <c r="G766" s="31">
        <v>0</v>
      </c>
      <c r="H766" s="31">
        <v>0</v>
      </c>
      <c r="I766" s="48">
        <v>0</v>
      </c>
      <c r="J766" s="47" t="s">
        <v>861</v>
      </c>
      <c r="K766" s="32">
        <v>0</v>
      </c>
      <c r="L766" s="32">
        <v>1</v>
      </c>
      <c r="M766" s="31">
        <v>-0.50000000052480864</v>
      </c>
      <c r="N766" s="31">
        <v>0</v>
      </c>
      <c r="O766" s="31">
        <v>0</v>
      </c>
      <c r="P766" s="31">
        <v>0</v>
      </c>
      <c r="Q766" s="31">
        <v>0</v>
      </c>
      <c r="R766" s="31">
        <v>0</v>
      </c>
      <c r="S766" s="31">
        <v>0</v>
      </c>
      <c r="T766" s="31" t="s">
        <v>46</v>
      </c>
      <c r="U766" s="31" t="s">
        <v>46</v>
      </c>
    </row>
    <row r="767" spans="1:21" x14ac:dyDescent="0.2">
      <c r="A767" s="31">
        <v>0.74379462767766058</v>
      </c>
      <c r="B767" s="46" t="s">
        <v>862</v>
      </c>
      <c r="C767" s="32">
        <v>0</v>
      </c>
      <c r="D767" s="32">
        <v>1</v>
      </c>
      <c r="E767" s="31">
        <v>0.50000000052480864</v>
      </c>
      <c r="F767" s="31">
        <v>0</v>
      </c>
      <c r="G767" s="31">
        <v>0</v>
      </c>
      <c r="H767" s="31">
        <v>0</v>
      </c>
      <c r="I767" s="31">
        <v>0</v>
      </c>
      <c r="J767" s="47" t="s">
        <v>863</v>
      </c>
      <c r="K767" s="32">
        <v>0</v>
      </c>
      <c r="L767" s="32">
        <v>1</v>
      </c>
      <c r="M767" s="31">
        <v>-0.50000000052480864</v>
      </c>
      <c r="N767" s="31">
        <v>0</v>
      </c>
      <c r="O767" s="31">
        <v>0</v>
      </c>
      <c r="P767" s="31">
        <v>0</v>
      </c>
      <c r="Q767" s="31">
        <v>0</v>
      </c>
      <c r="R767" s="31">
        <v>0</v>
      </c>
      <c r="S767" s="31">
        <v>0</v>
      </c>
      <c r="T767" s="31" t="s">
        <v>46</v>
      </c>
      <c r="U767" s="31" t="s">
        <v>46</v>
      </c>
    </row>
    <row r="768" spans="1:21" x14ac:dyDescent="0.2">
      <c r="A768" s="31">
        <v>0.75087838603649548</v>
      </c>
      <c r="B768" s="46" t="s">
        <v>864</v>
      </c>
      <c r="C768" s="32">
        <v>0</v>
      </c>
      <c r="D768" s="32">
        <v>1</v>
      </c>
      <c r="E768" s="31">
        <v>0.50000000052480864</v>
      </c>
      <c r="F768" s="31">
        <v>0</v>
      </c>
      <c r="G768" s="31">
        <v>0</v>
      </c>
      <c r="H768" s="31">
        <v>0</v>
      </c>
      <c r="I768" s="31">
        <v>0</v>
      </c>
      <c r="J768" s="47" t="s">
        <v>865</v>
      </c>
      <c r="K768" s="32">
        <v>0</v>
      </c>
      <c r="L768" s="32">
        <v>1</v>
      </c>
      <c r="M768" s="31">
        <v>-0.50000000052480864</v>
      </c>
      <c r="N768" s="31">
        <v>0</v>
      </c>
      <c r="O768" s="31">
        <v>0</v>
      </c>
      <c r="P768" s="31">
        <v>0</v>
      </c>
      <c r="Q768" s="31">
        <v>0</v>
      </c>
      <c r="R768" s="31">
        <v>0</v>
      </c>
      <c r="S768" s="31">
        <v>0</v>
      </c>
      <c r="T768" s="31" t="s">
        <v>46</v>
      </c>
      <c r="U768" s="31" t="s">
        <v>46</v>
      </c>
    </row>
    <row r="769" spans="1:21" x14ac:dyDescent="0.2">
      <c r="A769" s="31">
        <v>0.75796214439533038</v>
      </c>
      <c r="B769" s="46" t="s">
        <v>866</v>
      </c>
      <c r="C769" s="32">
        <v>0</v>
      </c>
      <c r="D769" s="32">
        <v>1</v>
      </c>
      <c r="E769" s="31">
        <v>0.50000000052480864</v>
      </c>
      <c r="F769" s="31">
        <v>0</v>
      </c>
      <c r="G769" s="31">
        <v>0</v>
      </c>
      <c r="H769" s="31">
        <v>0</v>
      </c>
      <c r="I769" s="31">
        <v>0</v>
      </c>
      <c r="J769" s="47" t="s">
        <v>867</v>
      </c>
      <c r="K769" s="32">
        <v>0</v>
      </c>
      <c r="L769" s="32">
        <v>1</v>
      </c>
      <c r="M769" s="31">
        <v>-0.50000000052480864</v>
      </c>
      <c r="N769" s="31">
        <v>0</v>
      </c>
      <c r="O769" s="31">
        <v>0</v>
      </c>
      <c r="P769" s="31">
        <v>0</v>
      </c>
      <c r="Q769" s="31">
        <v>0</v>
      </c>
      <c r="R769" s="31">
        <v>0</v>
      </c>
      <c r="S769" s="31">
        <v>0</v>
      </c>
      <c r="T769" s="31" t="s">
        <v>46</v>
      </c>
      <c r="U769" s="31" t="s">
        <v>46</v>
      </c>
    </row>
    <row r="770" spans="1:21" x14ac:dyDescent="0.2">
      <c r="A770" s="31">
        <v>0.76504590275416517</v>
      </c>
      <c r="B770" s="46" t="s">
        <v>868</v>
      </c>
      <c r="C770" s="32">
        <v>0</v>
      </c>
      <c r="D770" s="32">
        <v>1</v>
      </c>
      <c r="E770" s="31">
        <v>0.50000000052480864</v>
      </c>
      <c r="F770" s="31">
        <v>0</v>
      </c>
      <c r="G770" s="31">
        <v>0</v>
      </c>
      <c r="H770" s="31">
        <v>0</v>
      </c>
      <c r="I770" s="31">
        <v>0</v>
      </c>
      <c r="J770" s="47" t="s">
        <v>869</v>
      </c>
      <c r="K770" s="32">
        <v>0</v>
      </c>
      <c r="L770" s="32">
        <v>1</v>
      </c>
      <c r="M770" s="31">
        <v>-0.50000000052480864</v>
      </c>
      <c r="N770" s="31">
        <v>0</v>
      </c>
      <c r="O770" s="31">
        <v>0</v>
      </c>
      <c r="P770" s="31">
        <v>0</v>
      </c>
      <c r="Q770" s="31">
        <v>0</v>
      </c>
      <c r="R770" s="31">
        <v>0</v>
      </c>
      <c r="S770" s="31">
        <v>0</v>
      </c>
      <c r="T770" s="31" t="s">
        <v>46</v>
      </c>
      <c r="U770" s="31" t="s">
        <v>46</v>
      </c>
    </row>
    <row r="771" spans="1:21" x14ac:dyDescent="0.2">
      <c r="A771" s="31">
        <v>0.77212966111300008</v>
      </c>
      <c r="B771" s="46" t="s">
        <v>870</v>
      </c>
      <c r="C771" s="32">
        <v>0</v>
      </c>
      <c r="D771" s="32">
        <v>1</v>
      </c>
      <c r="E771" s="31">
        <v>0.50000000052480864</v>
      </c>
      <c r="F771" s="31">
        <v>0</v>
      </c>
      <c r="G771" s="31">
        <v>0</v>
      </c>
      <c r="H771" s="31">
        <v>0</v>
      </c>
      <c r="I771" s="31">
        <v>0</v>
      </c>
      <c r="J771" s="47" t="s">
        <v>871</v>
      </c>
      <c r="K771" s="32">
        <v>0</v>
      </c>
      <c r="L771" s="32">
        <v>1</v>
      </c>
      <c r="M771" s="31">
        <v>-0.50000000052480864</v>
      </c>
      <c r="N771" s="31">
        <v>0</v>
      </c>
      <c r="O771" s="31">
        <v>0</v>
      </c>
      <c r="P771" s="31">
        <v>0</v>
      </c>
      <c r="Q771" s="31">
        <v>0</v>
      </c>
      <c r="R771" s="31">
        <v>0</v>
      </c>
      <c r="S771" s="31">
        <v>0</v>
      </c>
      <c r="T771" s="31" t="s">
        <v>46</v>
      </c>
      <c r="U771" s="31" t="s">
        <v>46</v>
      </c>
    </row>
    <row r="772" spans="1:21" x14ac:dyDescent="0.2">
      <c r="A772" s="31">
        <v>0.77921341947183498</v>
      </c>
      <c r="B772" s="46" t="s">
        <v>872</v>
      </c>
      <c r="C772" s="32">
        <v>0</v>
      </c>
      <c r="D772" s="32">
        <v>1</v>
      </c>
      <c r="E772" s="31">
        <v>0.50000000052480864</v>
      </c>
      <c r="F772" s="31">
        <v>0</v>
      </c>
      <c r="G772" s="31">
        <v>0</v>
      </c>
      <c r="H772" s="31">
        <v>0</v>
      </c>
      <c r="I772" s="31">
        <v>0</v>
      </c>
      <c r="J772" s="47" t="s">
        <v>873</v>
      </c>
      <c r="K772" s="32">
        <v>0</v>
      </c>
      <c r="L772" s="32">
        <v>1</v>
      </c>
      <c r="M772" s="31">
        <v>-0.50000000052480864</v>
      </c>
      <c r="N772" s="31">
        <v>0</v>
      </c>
      <c r="O772" s="31">
        <v>0</v>
      </c>
      <c r="P772" s="31">
        <v>0</v>
      </c>
      <c r="Q772" s="31">
        <v>0</v>
      </c>
      <c r="R772" s="31">
        <v>0</v>
      </c>
      <c r="S772" s="31">
        <v>0</v>
      </c>
      <c r="T772" s="31" t="s">
        <v>46</v>
      </c>
      <c r="U772" s="31" t="s">
        <v>46</v>
      </c>
    </row>
    <row r="773" spans="1:21" x14ac:dyDescent="0.2">
      <c r="A773" s="31">
        <v>0.78629717783066977</v>
      </c>
      <c r="B773" s="46" t="s">
        <v>874</v>
      </c>
      <c r="C773" s="32">
        <v>0</v>
      </c>
      <c r="D773" s="32">
        <v>1</v>
      </c>
      <c r="E773" s="31">
        <v>0.50000000052480864</v>
      </c>
      <c r="F773" s="31">
        <v>0</v>
      </c>
      <c r="G773" s="31">
        <v>0</v>
      </c>
      <c r="H773" s="31">
        <v>0</v>
      </c>
      <c r="I773" s="31">
        <v>0</v>
      </c>
      <c r="J773" s="47" t="s">
        <v>875</v>
      </c>
      <c r="K773" s="32">
        <v>0</v>
      </c>
      <c r="L773" s="32">
        <v>1</v>
      </c>
      <c r="M773" s="31">
        <v>-0.50000000052480864</v>
      </c>
      <c r="N773" s="31">
        <v>0</v>
      </c>
      <c r="O773" s="31">
        <v>0</v>
      </c>
      <c r="P773" s="31">
        <v>0</v>
      </c>
      <c r="Q773" s="31">
        <v>0</v>
      </c>
      <c r="R773" s="31">
        <v>0</v>
      </c>
      <c r="S773" s="31">
        <v>0</v>
      </c>
      <c r="T773" s="31" t="s">
        <v>46</v>
      </c>
      <c r="U773" s="31" t="s">
        <v>46</v>
      </c>
    </row>
    <row r="774" spans="1:21" x14ac:dyDescent="0.2">
      <c r="A774" s="31">
        <v>0.79338093618950467</v>
      </c>
      <c r="B774" s="46" t="s">
        <v>876</v>
      </c>
      <c r="C774" s="32">
        <v>0</v>
      </c>
      <c r="D774" s="32">
        <v>1</v>
      </c>
      <c r="E774" s="31">
        <v>0.50000000052480864</v>
      </c>
      <c r="F774" s="31">
        <v>0</v>
      </c>
      <c r="G774" s="31">
        <v>0</v>
      </c>
      <c r="H774" s="31">
        <v>0</v>
      </c>
      <c r="I774" s="31">
        <v>0</v>
      </c>
      <c r="J774" s="47" t="s">
        <v>877</v>
      </c>
      <c r="K774" s="32">
        <v>0</v>
      </c>
      <c r="L774" s="32">
        <v>1</v>
      </c>
      <c r="M774" s="31">
        <v>-0.50000000052480864</v>
      </c>
      <c r="N774" s="31">
        <v>0</v>
      </c>
      <c r="O774" s="31">
        <v>0</v>
      </c>
      <c r="P774" s="31">
        <v>0</v>
      </c>
      <c r="Q774" s="31">
        <v>0</v>
      </c>
      <c r="R774" s="31">
        <v>0</v>
      </c>
      <c r="S774" s="31">
        <v>0</v>
      </c>
      <c r="T774" s="31" t="s">
        <v>46</v>
      </c>
      <c r="U774" s="31" t="s">
        <v>46</v>
      </c>
    </row>
    <row r="775" spans="1:21" x14ac:dyDescent="0.2">
      <c r="A775" s="31">
        <v>0.80046469454833957</v>
      </c>
      <c r="B775" s="46" t="s">
        <v>878</v>
      </c>
      <c r="C775" s="32">
        <v>0</v>
      </c>
      <c r="D775" s="32">
        <v>1</v>
      </c>
      <c r="E775" s="31">
        <v>0.50000000052480864</v>
      </c>
      <c r="F775" s="31">
        <v>0</v>
      </c>
      <c r="G775" s="31">
        <v>0</v>
      </c>
      <c r="H775" s="31">
        <v>0</v>
      </c>
      <c r="I775" s="31">
        <v>0</v>
      </c>
      <c r="J775" s="47" t="s">
        <v>879</v>
      </c>
      <c r="K775" s="32">
        <v>0</v>
      </c>
      <c r="L775" s="32">
        <v>1</v>
      </c>
      <c r="M775" s="31">
        <v>-0.50000000052480864</v>
      </c>
      <c r="N775" s="31">
        <v>0</v>
      </c>
      <c r="O775" s="31">
        <v>0</v>
      </c>
      <c r="P775" s="31">
        <v>0</v>
      </c>
      <c r="Q775" s="31">
        <v>0</v>
      </c>
      <c r="R775" s="31">
        <v>0</v>
      </c>
      <c r="S775" s="31">
        <v>0</v>
      </c>
      <c r="T775" s="31" t="s">
        <v>46</v>
      </c>
      <c r="U775" s="31" t="s">
        <v>46</v>
      </c>
    </row>
    <row r="776" spans="1:21" x14ac:dyDescent="0.2">
      <c r="A776" s="31">
        <v>0.80754845290717436</v>
      </c>
      <c r="B776" s="46" t="s">
        <v>880</v>
      </c>
      <c r="C776" s="32">
        <v>0</v>
      </c>
      <c r="D776" s="32">
        <v>1</v>
      </c>
      <c r="E776" s="31">
        <v>0.50000000052480864</v>
      </c>
      <c r="F776" s="31">
        <v>0</v>
      </c>
      <c r="G776" s="31">
        <v>0</v>
      </c>
      <c r="H776" s="31">
        <v>0</v>
      </c>
      <c r="I776" s="31">
        <v>0</v>
      </c>
      <c r="J776" s="47" t="s">
        <v>881</v>
      </c>
      <c r="K776" s="32">
        <v>0</v>
      </c>
      <c r="L776" s="32">
        <v>1</v>
      </c>
      <c r="M776" s="31">
        <v>-0.50000000052480864</v>
      </c>
      <c r="N776" s="31">
        <v>0</v>
      </c>
      <c r="O776" s="31">
        <v>0</v>
      </c>
      <c r="P776" s="31">
        <v>0</v>
      </c>
      <c r="Q776" s="31">
        <v>0</v>
      </c>
      <c r="R776" s="31">
        <v>0</v>
      </c>
      <c r="S776" s="31">
        <v>0</v>
      </c>
      <c r="T776" s="31" t="s">
        <v>46</v>
      </c>
      <c r="U776" s="31" t="s">
        <v>46</v>
      </c>
    </row>
    <row r="777" spans="1:21" x14ac:dyDescent="0.2">
      <c r="A777" s="31">
        <v>0.81463221126600927</v>
      </c>
      <c r="B777" s="46" t="s">
        <v>882</v>
      </c>
      <c r="C777" s="32">
        <v>0</v>
      </c>
      <c r="D777" s="32">
        <v>1</v>
      </c>
      <c r="E777" s="31">
        <v>0.50000000052480864</v>
      </c>
      <c r="F777" s="31">
        <v>0</v>
      </c>
      <c r="G777" s="31">
        <v>0</v>
      </c>
      <c r="H777" s="31">
        <v>0</v>
      </c>
      <c r="I777" s="31">
        <v>0</v>
      </c>
      <c r="J777" s="47" t="s">
        <v>883</v>
      </c>
      <c r="K777" s="32">
        <v>0</v>
      </c>
      <c r="L777" s="32">
        <v>1</v>
      </c>
      <c r="M777" s="31">
        <v>-0.50000000052480864</v>
      </c>
      <c r="N777" s="31">
        <v>0</v>
      </c>
      <c r="O777" s="31">
        <v>0</v>
      </c>
      <c r="P777" s="31">
        <v>0</v>
      </c>
      <c r="Q777" s="31">
        <v>0</v>
      </c>
      <c r="R777" s="31">
        <v>0</v>
      </c>
      <c r="S777" s="31">
        <v>0</v>
      </c>
      <c r="T777" s="31" t="s">
        <v>46</v>
      </c>
      <c r="U777" s="31" t="s">
        <v>46</v>
      </c>
    </row>
    <row r="778" spans="1:21" x14ac:dyDescent="0.2">
      <c r="A778" s="31">
        <v>0.82171596962484417</v>
      </c>
      <c r="B778" s="46" t="s">
        <v>884</v>
      </c>
      <c r="C778" s="32">
        <v>0</v>
      </c>
      <c r="D778" s="32">
        <v>1</v>
      </c>
      <c r="E778" s="31">
        <v>0.50000000052480864</v>
      </c>
      <c r="F778" s="31">
        <v>0</v>
      </c>
      <c r="G778" s="31">
        <v>0</v>
      </c>
      <c r="H778" s="31">
        <v>0</v>
      </c>
      <c r="I778" s="31">
        <v>0</v>
      </c>
      <c r="J778" s="47" t="s">
        <v>885</v>
      </c>
      <c r="K778" s="32">
        <v>0</v>
      </c>
      <c r="L778" s="32">
        <v>1</v>
      </c>
      <c r="M778" s="31">
        <v>-0.50000000052480864</v>
      </c>
      <c r="N778" s="31">
        <v>0</v>
      </c>
      <c r="O778" s="31">
        <v>0</v>
      </c>
      <c r="P778" s="31">
        <v>0</v>
      </c>
      <c r="Q778" s="31">
        <v>0</v>
      </c>
      <c r="R778" s="31">
        <v>0</v>
      </c>
      <c r="S778" s="31">
        <v>0</v>
      </c>
      <c r="T778" s="31" t="s">
        <v>46</v>
      </c>
      <c r="U778" s="31" t="s">
        <v>46</v>
      </c>
    </row>
    <row r="779" spans="1:21" x14ac:dyDescent="0.2">
      <c r="A779" s="31">
        <v>0.82879972798367896</v>
      </c>
      <c r="B779" s="46" t="s">
        <v>886</v>
      </c>
      <c r="C779" s="32">
        <v>0</v>
      </c>
      <c r="D779" s="32">
        <v>1</v>
      </c>
      <c r="E779" s="31">
        <v>0.50000000052480864</v>
      </c>
      <c r="F779" s="31">
        <v>0</v>
      </c>
      <c r="G779" s="31">
        <v>0</v>
      </c>
      <c r="H779" s="31">
        <v>0</v>
      </c>
      <c r="I779" s="31">
        <v>0</v>
      </c>
      <c r="J779" s="47" t="s">
        <v>887</v>
      </c>
      <c r="K779" s="32">
        <v>0</v>
      </c>
      <c r="L779" s="32">
        <v>1</v>
      </c>
      <c r="M779" s="31">
        <v>-0.50000000052480864</v>
      </c>
      <c r="N779" s="31">
        <v>0</v>
      </c>
      <c r="O779" s="31">
        <v>0</v>
      </c>
      <c r="P779" s="31">
        <v>0</v>
      </c>
      <c r="Q779" s="31">
        <v>0</v>
      </c>
      <c r="R779" s="31">
        <v>0</v>
      </c>
      <c r="S779" s="31">
        <v>0</v>
      </c>
      <c r="T779" s="31" t="s">
        <v>46</v>
      </c>
      <c r="U779" s="31" t="s">
        <v>46</v>
      </c>
    </row>
    <row r="780" spans="1:21" x14ac:dyDescent="0.2">
      <c r="A780" s="31">
        <v>0.83588348634251386</v>
      </c>
      <c r="B780" s="46" t="s">
        <v>888</v>
      </c>
      <c r="C780" s="32">
        <v>0</v>
      </c>
      <c r="D780" s="32">
        <v>1</v>
      </c>
      <c r="E780" s="31">
        <v>0.50000000052480864</v>
      </c>
      <c r="F780" s="31">
        <v>0</v>
      </c>
      <c r="G780" s="31">
        <v>0</v>
      </c>
      <c r="H780" s="31">
        <v>0</v>
      </c>
      <c r="I780" s="31">
        <v>0</v>
      </c>
      <c r="J780" s="47" t="s">
        <v>889</v>
      </c>
      <c r="K780" s="32">
        <v>0</v>
      </c>
      <c r="L780" s="32">
        <v>1</v>
      </c>
      <c r="M780" s="31">
        <v>-0.50000000052480864</v>
      </c>
      <c r="N780" s="31">
        <v>0</v>
      </c>
      <c r="O780" s="31">
        <v>0</v>
      </c>
      <c r="P780" s="31">
        <v>0</v>
      </c>
      <c r="Q780" s="31">
        <v>0</v>
      </c>
      <c r="R780" s="31">
        <v>0</v>
      </c>
      <c r="S780" s="31">
        <v>0</v>
      </c>
      <c r="T780" s="31" t="s">
        <v>46</v>
      </c>
      <c r="U780" s="31" t="s">
        <v>46</v>
      </c>
    </row>
    <row r="781" spans="1:21" x14ac:dyDescent="0.2">
      <c r="A781" s="31">
        <v>0.84296724470134876</v>
      </c>
      <c r="B781" s="46" t="s">
        <v>890</v>
      </c>
      <c r="C781" s="32">
        <v>0</v>
      </c>
      <c r="D781" s="32">
        <v>1</v>
      </c>
      <c r="E781" s="31">
        <v>0.50000000052480864</v>
      </c>
      <c r="F781" s="31">
        <v>0</v>
      </c>
      <c r="G781" s="31">
        <v>0</v>
      </c>
      <c r="H781" s="31">
        <v>0</v>
      </c>
      <c r="I781" s="31">
        <v>0</v>
      </c>
      <c r="J781" s="47" t="s">
        <v>891</v>
      </c>
      <c r="K781" s="32">
        <v>0</v>
      </c>
      <c r="L781" s="32">
        <v>1</v>
      </c>
      <c r="M781" s="31">
        <v>-0.50000000052480864</v>
      </c>
      <c r="N781" s="31">
        <v>0</v>
      </c>
      <c r="O781" s="31">
        <v>0</v>
      </c>
      <c r="P781" s="31">
        <v>0</v>
      </c>
      <c r="Q781" s="31">
        <v>0</v>
      </c>
      <c r="R781" s="31">
        <v>0</v>
      </c>
      <c r="S781" s="31">
        <v>0</v>
      </c>
      <c r="T781" s="31" t="s">
        <v>46</v>
      </c>
      <c r="U781" s="31" t="s">
        <v>46</v>
      </c>
    </row>
    <row r="782" spans="1:21" x14ac:dyDescent="0.2">
      <c r="A782" s="31">
        <v>0.85005100306018355</v>
      </c>
      <c r="B782" s="46" t="s">
        <v>892</v>
      </c>
      <c r="C782" s="32">
        <v>0</v>
      </c>
      <c r="D782" s="32">
        <v>1</v>
      </c>
      <c r="E782" s="31">
        <v>0.50000000052480864</v>
      </c>
      <c r="F782" s="31">
        <v>0</v>
      </c>
      <c r="G782" s="31">
        <v>0</v>
      </c>
      <c r="H782" s="31">
        <v>0</v>
      </c>
      <c r="I782" s="31">
        <v>0</v>
      </c>
      <c r="J782" s="47" t="s">
        <v>893</v>
      </c>
      <c r="K782" s="32">
        <v>0</v>
      </c>
      <c r="L782" s="32">
        <v>1</v>
      </c>
      <c r="M782" s="31">
        <v>-0.50000000052480864</v>
      </c>
      <c r="N782" s="31">
        <v>0</v>
      </c>
      <c r="O782" s="31">
        <v>0</v>
      </c>
      <c r="P782" s="31">
        <v>0</v>
      </c>
      <c r="Q782" s="31">
        <v>0</v>
      </c>
      <c r="R782" s="31">
        <v>0</v>
      </c>
      <c r="S782" s="31">
        <v>0</v>
      </c>
      <c r="T782" s="31" t="s">
        <v>46</v>
      </c>
      <c r="U782" s="31" t="s">
        <v>46</v>
      </c>
    </row>
    <row r="783" spans="1:21" x14ac:dyDescent="0.2">
      <c r="A783" s="31">
        <v>0.85713476141901845</v>
      </c>
      <c r="B783" s="46" t="s">
        <v>894</v>
      </c>
      <c r="C783" s="32">
        <v>0</v>
      </c>
      <c r="D783" s="32">
        <v>1</v>
      </c>
      <c r="E783" s="31">
        <v>0.50000000052480864</v>
      </c>
      <c r="F783" s="31">
        <v>0</v>
      </c>
      <c r="G783" s="31">
        <v>0</v>
      </c>
      <c r="H783" s="31">
        <v>0</v>
      </c>
      <c r="I783" s="31">
        <v>0</v>
      </c>
      <c r="J783" s="47" t="s">
        <v>895</v>
      </c>
      <c r="K783" s="32">
        <v>0</v>
      </c>
      <c r="L783" s="32">
        <v>1</v>
      </c>
      <c r="M783" s="31">
        <v>-0.50000000052480864</v>
      </c>
      <c r="N783" s="31">
        <v>0</v>
      </c>
      <c r="O783" s="31">
        <v>0</v>
      </c>
      <c r="P783" s="31">
        <v>0</v>
      </c>
      <c r="Q783" s="31">
        <v>0</v>
      </c>
      <c r="R783" s="31">
        <v>0</v>
      </c>
      <c r="S783" s="31">
        <v>0</v>
      </c>
      <c r="T783" s="31" t="s">
        <v>46</v>
      </c>
      <c r="U783" s="31" t="s">
        <v>46</v>
      </c>
    </row>
    <row r="784" spans="1:21" x14ac:dyDescent="0.2">
      <c r="A784" s="31">
        <v>0.86421851977785324</v>
      </c>
      <c r="B784" s="46" t="s">
        <v>896</v>
      </c>
      <c r="C784" s="32">
        <v>0</v>
      </c>
      <c r="D784" s="32">
        <v>1</v>
      </c>
      <c r="E784" s="31">
        <v>0.50000000052480864</v>
      </c>
      <c r="F784" s="31">
        <v>0</v>
      </c>
      <c r="G784" s="31">
        <v>0</v>
      </c>
      <c r="H784" s="31">
        <v>0</v>
      </c>
      <c r="I784" s="31">
        <v>0</v>
      </c>
      <c r="J784" s="47" t="s">
        <v>897</v>
      </c>
      <c r="K784" s="32">
        <v>0</v>
      </c>
      <c r="L784" s="32">
        <v>1</v>
      </c>
      <c r="M784" s="31">
        <v>-0.50000000052480864</v>
      </c>
      <c r="N784" s="31">
        <v>0</v>
      </c>
      <c r="O784" s="31">
        <v>0</v>
      </c>
      <c r="P784" s="31">
        <v>0</v>
      </c>
      <c r="Q784" s="31">
        <v>0</v>
      </c>
      <c r="R784" s="31">
        <v>0</v>
      </c>
      <c r="S784" s="31">
        <v>0</v>
      </c>
      <c r="T784" s="31" t="s">
        <v>46</v>
      </c>
      <c r="U784" s="31" t="s">
        <v>46</v>
      </c>
    </row>
    <row r="785" spans="1:21" x14ac:dyDescent="0.2">
      <c r="A785" s="31">
        <v>0.87130227813668815</v>
      </c>
      <c r="B785" s="46" t="s">
        <v>898</v>
      </c>
      <c r="C785" s="32">
        <v>0</v>
      </c>
      <c r="D785" s="32">
        <v>1</v>
      </c>
      <c r="E785" s="31">
        <v>0.50000000052480864</v>
      </c>
      <c r="F785" s="31">
        <v>0</v>
      </c>
      <c r="G785" s="31">
        <v>0</v>
      </c>
      <c r="H785" s="31">
        <v>0</v>
      </c>
      <c r="I785" s="31">
        <v>0</v>
      </c>
      <c r="J785" s="47" t="s">
        <v>899</v>
      </c>
      <c r="K785" s="32">
        <v>0</v>
      </c>
      <c r="L785" s="32">
        <v>1</v>
      </c>
      <c r="M785" s="31">
        <v>-0.50000000052480864</v>
      </c>
      <c r="N785" s="31">
        <v>0</v>
      </c>
      <c r="O785" s="31">
        <v>0</v>
      </c>
      <c r="P785" s="31">
        <v>0</v>
      </c>
      <c r="Q785" s="31">
        <v>0</v>
      </c>
      <c r="R785" s="31">
        <v>0</v>
      </c>
      <c r="S785" s="31">
        <v>0</v>
      </c>
      <c r="T785" s="31" t="s">
        <v>46</v>
      </c>
      <c r="U785" s="31" t="s">
        <v>46</v>
      </c>
    </row>
    <row r="786" spans="1:21" x14ac:dyDescent="0.2">
      <c r="A786" s="31">
        <v>0.87838603649552305</v>
      </c>
      <c r="B786" s="46" t="s">
        <v>900</v>
      </c>
      <c r="C786" s="32">
        <v>0</v>
      </c>
      <c r="D786" s="32">
        <v>1</v>
      </c>
      <c r="E786" s="31">
        <v>0.50000000052480864</v>
      </c>
      <c r="F786" s="31">
        <v>0</v>
      </c>
      <c r="G786" s="31">
        <v>0</v>
      </c>
      <c r="H786" s="31">
        <v>0</v>
      </c>
      <c r="I786" s="31">
        <v>0</v>
      </c>
      <c r="J786" s="47" t="s">
        <v>901</v>
      </c>
      <c r="K786" s="32">
        <v>0</v>
      </c>
      <c r="L786" s="32">
        <v>1</v>
      </c>
      <c r="M786" s="31">
        <v>-0.50000000052480864</v>
      </c>
      <c r="N786" s="31">
        <v>0</v>
      </c>
      <c r="O786" s="31">
        <v>0</v>
      </c>
      <c r="P786" s="31">
        <v>0</v>
      </c>
      <c r="Q786" s="31">
        <v>0</v>
      </c>
      <c r="R786" s="31">
        <v>0</v>
      </c>
      <c r="S786" s="31">
        <v>0</v>
      </c>
      <c r="T786" s="31" t="s">
        <v>46</v>
      </c>
      <c r="U786" s="31" t="s">
        <v>46</v>
      </c>
    </row>
    <row r="787" spans="1:21" x14ac:dyDescent="0.2">
      <c r="A787" s="31">
        <v>0.88546979485435784</v>
      </c>
      <c r="B787" s="46" t="s">
        <v>902</v>
      </c>
      <c r="C787" s="32">
        <v>0</v>
      </c>
      <c r="D787" s="32">
        <v>1</v>
      </c>
      <c r="E787" s="31">
        <v>0.50000000052480864</v>
      </c>
      <c r="F787" s="31">
        <v>0</v>
      </c>
      <c r="G787" s="31">
        <v>0</v>
      </c>
      <c r="H787" s="31">
        <v>0</v>
      </c>
      <c r="I787" s="31">
        <v>0</v>
      </c>
      <c r="J787" s="47" t="s">
        <v>903</v>
      </c>
      <c r="K787" s="32">
        <v>0</v>
      </c>
      <c r="L787" s="32">
        <v>1</v>
      </c>
      <c r="M787" s="31">
        <v>-0.50000000052480864</v>
      </c>
      <c r="N787" s="31">
        <v>0</v>
      </c>
      <c r="O787" s="31">
        <v>0</v>
      </c>
      <c r="P787" s="31">
        <v>0</v>
      </c>
      <c r="Q787" s="31">
        <v>0</v>
      </c>
      <c r="R787" s="31">
        <v>0</v>
      </c>
      <c r="S787" s="31">
        <v>0</v>
      </c>
      <c r="T787" s="31" t="s">
        <v>46</v>
      </c>
      <c r="U787" s="31" t="s">
        <v>46</v>
      </c>
    </row>
    <row r="788" spans="1:21" x14ac:dyDescent="0.2">
      <c r="A788" s="31">
        <v>0.89255355321319274</v>
      </c>
      <c r="B788" s="46" t="s">
        <v>904</v>
      </c>
      <c r="C788" s="32">
        <v>0</v>
      </c>
      <c r="D788" s="32">
        <v>1</v>
      </c>
      <c r="E788" s="31">
        <v>0.50000000052480864</v>
      </c>
      <c r="F788" s="31">
        <v>0</v>
      </c>
      <c r="G788" s="31">
        <v>0</v>
      </c>
      <c r="H788" s="31">
        <v>0</v>
      </c>
      <c r="I788" s="31">
        <v>0</v>
      </c>
      <c r="J788" s="47" t="s">
        <v>905</v>
      </c>
      <c r="K788" s="32">
        <v>0</v>
      </c>
      <c r="L788" s="32">
        <v>1</v>
      </c>
      <c r="M788" s="31">
        <v>-0.50000000052480864</v>
      </c>
      <c r="N788" s="31">
        <v>0</v>
      </c>
      <c r="O788" s="31">
        <v>0</v>
      </c>
      <c r="P788" s="31">
        <v>0</v>
      </c>
      <c r="Q788" s="31">
        <v>0</v>
      </c>
      <c r="R788" s="31">
        <v>0</v>
      </c>
      <c r="S788" s="31">
        <v>0</v>
      </c>
      <c r="T788" s="31" t="s">
        <v>46</v>
      </c>
      <c r="U788" s="31" t="s">
        <v>46</v>
      </c>
    </row>
    <row r="789" spans="1:21" x14ac:dyDescent="0.2">
      <c r="A789" s="31">
        <v>0.89963731157202764</v>
      </c>
      <c r="B789" s="46" t="s">
        <v>906</v>
      </c>
      <c r="C789" s="32">
        <v>0</v>
      </c>
      <c r="D789" s="32">
        <v>1</v>
      </c>
      <c r="E789" s="31">
        <v>0.50000000052480864</v>
      </c>
      <c r="F789" s="31">
        <v>0</v>
      </c>
      <c r="G789" s="31">
        <v>0</v>
      </c>
      <c r="H789" s="31">
        <v>0</v>
      </c>
      <c r="I789" s="31">
        <v>0</v>
      </c>
      <c r="J789" s="47" t="s">
        <v>907</v>
      </c>
      <c r="K789" s="32">
        <v>0</v>
      </c>
      <c r="L789" s="32">
        <v>1</v>
      </c>
      <c r="M789" s="31">
        <v>-0.50000000052480864</v>
      </c>
      <c r="N789" s="31">
        <v>0</v>
      </c>
      <c r="O789" s="31">
        <v>0</v>
      </c>
      <c r="P789" s="31">
        <v>0</v>
      </c>
      <c r="Q789" s="31">
        <v>0</v>
      </c>
      <c r="R789" s="31">
        <v>0</v>
      </c>
      <c r="S789" s="31">
        <v>0</v>
      </c>
      <c r="T789" s="31" t="s">
        <v>46</v>
      </c>
      <c r="U789" s="31" t="s">
        <v>46</v>
      </c>
    </row>
    <row r="790" spans="1:21" x14ac:dyDescent="0.2">
      <c r="A790" s="31">
        <v>0.90672106993086243</v>
      </c>
      <c r="B790" s="46" t="s">
        <v>908</v>
      </c>
      <c r="C790" s="32">
        <v>0</v>
      </c>
      <c r="D790" s="32">
        <v>1</v>
      </c>
      <c r="E790" s="31">
        <v>0.50000000052480864</v>
      </c>
      <c r="F790" s="31">
        <v>0</v>
      </c>
      <c r="G790" s="31">
        <v>0</v>
      </c>
      <c r="H790" s="31">
        <v>0</v>
      </c>
      <c r="I790" s="31">
        <v>0</v>
      </c>
      <c r="J790" s="47" t="s">
        <v>909</v>
      </c>
      <c r="K790" s="32">
        <v>0</v>
      </c>
      <c r="L790" s="32">
        <v>1</v>
      </c>
      <c r="M790" s="31">
        <v>-0.50000000052480864</v>
      </c>
      <c r="N790" s="31">
        <v>0</v>
      </c>
      <c r="O790" s="31">
        <v>0</v>
      </c>
      <c r="P790" s="31">
        <v>0</v>
      </c>
      <c r="Q790" s="31">
        <v>0</v>
      </c>
      <c r="R790" s="31">
        <v>0</v>
      </c>
      <c r="S790" s="31">
        <v>0</v>
      </c>
      <c r="T790" s="31" t="s">
        <v>46</v>
      </c>
      <c r="U790" s="31" t="s">
        <v>46</v>
      </c>
    </row>
    <row r="791" spans="1:21" x14ac:dyDescent="0.2">
      <c r="A791" s="31">
        <v>0.91380482828969734</v>
      </c>
      <c r="B791" s="46" t="s">
        <v>910</v>
      </c>
      <c r="C791" s="32">
        <v>0</v>
      </c>
      <c r="D791" s="32">
        <v>1</v>
      </c>
      <c r="E791" s="31">
        <v>0.50000000052480864</v>
      </c>
      <c r="F791" s="31">
        <v>0</v>
      </c>
      <c r="G791" s="31">
        <v>0</v>
      </c>
      <c r="H791" s="31">
        <v>0</v>
      </c>
      <c r="I791" s="31">
        <v>0</v>
      </c>
      <c r="J791" s="47" t="s">
        <v>911</v>
      </c>
      <c r="K791" s="32">
        <v>0</v>
      </c>
      <c r="L791" s="32">
        <v>1</v>
      </c>
      <c r="M791" s="31">
        <v>-0.50000000052480864</v>
      </c>
      <c r="N791" s="31">
        <v>0</v>
      </c>
      <c r="O791" s="31">
        <v>0</v>
      </c>
      <c r="P791" s="31">
        <v>0</v>
      </c>
      <c r="Q791" s="31">
        <v>0</v>
      </c>
      <c r="R791" s="31">
        <v>0</v>
      </c>
      <c r="S791" s="31">
        <v>0</v>
      </c>
      <c r="T791" s="31" t="s">
        <v>46</v>
      </c>
      <c r="U791" s="31" t="s">
        <v>46</v>
      </c>
    </row>
    <row r="792" spans="1:21" x14ac:dyDescent="0.2">
      <c r="A792" s="31">
        <v>0.92088858664853224</v>
      </c>
      <c r="B792" s="46" t="s">
        <v>912</v>
      </c>
      <c r="C792" s="32">
        <v>0</v>
      </c>
      <c r="D792" s="32">
        <v>1</v>
      </c>
      <c r="E792" s="31">
        <v>0.50000000052480864</v>
      </c>
      <c r="F792" s="31">
        <v>0</v>
      </c>
      <c r="G792" s="31">
        <v>0</v>
      </c>
      <c r="H792" s="31">
        <v>0</v>
      </c>
      <c r="I792" s="31">
        <v>0</v>
      </c>
      <c r="J792" s="47" t="s">
        <v>913</v>
      </c>
      <c r="K792" s="32">
        <v>0</v>
      </c>
      <c r="L792" s="32">
        <v>1</v>
      </c>
      <c r="M792" s="31">
        <v>-0.50000000052480864</v>
      </c>
      <c r="N792" s="31">
        <v>0</v>
      </c>
      <c r="O792" s="31">
        <v>0</v>
      </c>
      <c r="P792" s="31">
        <v>0</v>
      </c>
      <c r="Q792" s="31">
        <v>0</v>
      </c>
      <c r="R792" s="31">
        <v>0</v>
      </c>
      <c r="S792" s="31">
        <v>0</v>
      </c>
      <c r="T792" s="31" t="s">
        <v>46</v>
      </c>
      <c r="U792" s="31" t="s">
        <v>46</v>
      </c>
    </row>
    <row r="793" spans="1:21" x14ac:dyDescent="0.2">
      <c r="A793" s="31">
        <v>0.92797234500736703</v>
      </c>
      <c r="B793" s="46" t="s">
        <v>914</v>
      </c>
      <c r="C793" s="32">
        <v>0</v>
      </c>
      <c r="D793" s="32">
        <v>1</v>
      </c>
      <c r="E793" s="31">
        <v>0.50000000052480864</v>
      </c>
      <c r="F793" s="31">
        <v>0</v>
      </c>
      <c r="G793" s="31">
        <v>0</v>
      </c>
      <c r="H793" s="31">
        <v>0</v>
      </c>
      <c r="I793" s="31">
        <v>0</v>
      </c>
      <c r="J793" s="47" t="s">
        <v>915</v>
      </c>
      <c r="K793" s="32">
        <v>0</v>
      </c>
      <c r="L793" s="32">
        <v>1</v>
      </c>
      <c r="M793" s="31">
        <v>-0.50000000052480864</v>
      </c>
      <c r="N793" s="31">
        <v>0</v>
      </c>
      <c r="O793" s="31">
        <v>0</v>
      </c>
      <c r="P793" s="31">
        <v>0</v>
      </c>
      <c r="Q793" s="31">
        <v>0</v>
      </c>
      <c r="R793" s="31">
        <v>0</v>
      </c>
      <c r="S793" s="31">
        <v>0</v>
      </c>
      <c r="T793" s="31" t="s">
        <v>46</v>
      </c>
      <c r="U793" s="31" t="s">
        <v>46</v>
      </c>
    </row>
    <row r="794" spans="1:21" x14ac:dyDescent="0.2">
      <c r="A794" s="31">
        <v>0.93505610336620193</v>
      </c>
      <c r="B794" s="46" t="s">
        <v>916</v>
      </c>
      <c r="C794" s="32">
        <v>0</v>
      </c>
      <c r="D794" s="32">
        <v>1</v>
      </c>
      <c r="E794" s="31">
        <v>0.50000000052480864</v>
      </c>
      <c r="F794" s="31">
        <v>0</v>
      </c>
      <c r="G794" s="31">
        <v>0</v>
      </c>
      <c r="H794" s="31">
        <v>0</v>
      </c>
      <c r="I794" s="31">
        <v>0</v>
      </c>
      <c r="J794" s="47" t="s">
        <v>917</v>
      </c>
      <c r="K794" s="32">
        <v>0</v>
      </c>
      <c r="L794" s="32">
        <v>1</v>
      </c>
      <c r="M794" s="31">
        <v>-0.50000000052480864</v>
      </c>
      <c r="N794" s="31">
        <v>0</v>
      </c>
      <c r="O794" s="31">
        <v>0</v>
      </c>
      <c r="P794" s="31">
        <v>0</v>
      </c>
      <c r="Q794" s="31">
        <v>0</v>
      </c>
      <c r="R794" s="31">
        <v>0</v>
      </c>
      <c r="S794" s="31">
        <v>0</v>
      </c>
      <c r="T794" s="31" t="s">
        <v>46</v>
      </c>
      <c r="U794" s="31" t="s">
        <v>46</v>
      </c>
    </row>
    <row r="795" spans="1:21" x14ac:dyDescent="0.2">
      <c r="A795" s="31">
        <v>0.94213986172503683</v>
      </c>
      <c r="B795" s="46" t="s">
        <v>918</v>
      </c>
      <c r="C795" s="32">
        <v>0</v>
      </c>
      <c r="D795" s="32">
        <v>1</v>
      </c>
      <c r="E795" s="31">
        <v>0.50000000052480864</v>
      </c>
      <c r="F795" s="31">
        <v>0</v>
      </c>
      <c r="G795" s="31">
        <v>0</v>
      </c>
      <c r="H795" s="31">
        <v>0</v>
      </c>
      <c r="I795" s="31">
        <v>0</v>
      </c>
      <c r="J795" s="47" t="s">
        <v>919</v>
      </c>
      <c r="K795" s="32">
        <v>0</v>
      </c>
      <c r="L795" s="32">
        <v>1</v>
      </c>
      <c r="M795" s="31">
        <v>-0.50000000052480864</v>
      </c>
      <c r="N795" s="31">
        <v>0</v>
      </c>
      <c r="O795" s="31">
        <v>0</v>
      </c>
      <c r="P795" s="31">
        <v>0</v>
      </c>
      <c r="Q795" s="31">
        <v>0</v>
      </c>
      <c r="R795" s="31">
        <v>0</v>
      </c>
      <c r="S795" s="31">
        <v>0</v>
      </c>
      <c r="T795" s="31" t="s">
        <v>46</v>
      </c>
      <c r="U795" s="31" t="s">
        <v>46</v>
      </c>
    </row>
    <row r="796" spans="1:21" x14ac:dyDescent="0.2">
      <c r="A796" s="31">
        <v>0.94922362008387162</v>
      </c>
      <c r="B796" s="46" t="s">
        <v>920</v>
      </c>
      <c r="C796" s="32">
        <v>0</v>
      </c>
      <c r="D796" s="32">
        <v>1</v>
      </c>
      <c r="E796" s="31">
        <v>0.50000000052480864</v>
      </c>
      <c r="F796" s="31">
        <v>0</v>
      </c>
      <c r="G796" s="31">
        <v>0</v>
      </c>
      <c r="H796" s="31">
        <v>0</v>
      </c>
      <c r="I796" s="31">
        <v>0</v>
      </c>
      <c r="J796" s="47" t="s">
        <v>921</v>
      </c>
      <c r="K796" s="32">
        <v>0</v>
      </c>
      <c r="L796" s="32">
        <v>1</v>
      </c>
      <c r="M796" s="31">
        <v>-0.50000000052480864</v>
      </c>
      <c r="N796" s="31">
        <v>0</v>
      </c>
      <c r="O796" s="31">
        <v>0</v>
      </c>
      <c r="P796" s="31">
        <v>0</v>
      </c>
      <c r="Q796" s="31">
        <v>0</v>
      </c>
      <c r="R796" s="31">
        <v>0</v>
      </c>
      <c r="S796" s="31">
        <v>0</v>
      </c>
      <c r="T796" s="31" t="s">
        <v>46</v>
      </c>
      <c r="U796" s="31" t="s">
        <v>46</v>
      </c>
    </row>
    <row r="797" spans="1:21" x14ac:dyDescent="0.2">
      <c r="A797" s="31">
        <v>0.95630737844270652</v>
      </c>
      <c r="B797" s="46" t="s">
        <v>922</v>
      </c>
      <c r="C797" s="32">
        <v>0</v>
      </c>
      <c r="D797" s="32">
        <v>1</v>
      </c>
      <c r="E797" s="31">
        <v>0.50000000052480864</v>
      </c>
      <c r="F797" s="31">
        <v>0</v>
      </c>
      <c r="G797" s="31">
        <v>0</v>
      </c>
      <c r="H797" s="31">
        <v>0</v>
      </c>
      <c r="I797" s="31">
        <v>0</v>
      </c>
      <c r="J797" s="47" t="s">
        <v>923</v>
      </c>
      <c r="K797" s="32">
        <v>0</v>
      </c>
      <c r="L797" s="32">
        <v>1</v>
      </c>
      <c r="M797" s="31">
        <v>-0.50000000052480864</v>
      </c>
      <c r="N797" s="31">
        <v>0</v>
      </c>
      <c r="O797" s="31">
        <v>0</v>
      </c>
      <c r="P797" s="31">
        <v>0</v>
      </c>
      <c r="Q797" s="31">
        <v>0</v>
      </c>
      <c r="R797" s="31">
        <v>0</v>
      </c>
      <c r="S797" s="31">
        <v>0</v>
      </c>
      <c r="T797" s="31" t="s">
        <v>46</v>
      </c>
      <c r="U797" s="31" t="s">
        <v>46</v>
      </c>
    </row>
    <row r="798" spans="1:21" x14ac:dyDescent="0.2">
      <c r="A798" s="31">
        <v>0.96339113680154143</v>
      </c>
      <c r="B798" s="46" t="s">
        <v>924</v>
      </c>
      <c r="C798" s="32">
        <v>0</v>
      </c>
      <c r="D798" s="32">
        <v>1</v>
      </c>
      <c r="E798" s="31">
        <v>0.50000000052480864</v>
      </c>
      <c r="F798" s="31">
        <v>0</v>
      </c>
      <c r="G798" s="31">
        <v>0</v>
      </c>
      <c r="H798" s="31">
        <v>0</v>
      </c>
      <c r="I798" s="31">
        <v>0</v>
      </c>
      <c r="J798" s="47" t="s">
        <v>925</v>
      </c>
      <c r="K798" s="32">
        <v>0</v>
      </c>
      <c r="L798" s="32">
        <v>1</v>
      </c>
      <c r="M798" s="31">
        <v>-0.50000000052480864</v>
      </c>
      <c r="N798" s="31">
        <v>0</v>
      </c>
      <c r="O798" s="31">
        <v>0</v>
      </c>
      <c r="P798" s="31">
        <v>0</v>
      </c>
      <c r="Q798" s="31">
        <v>0</v>
      </c>
      <c r="R798" s="31">
        <v>0</v>
      </c>
      <c r="S798" s="31">
        <v>0</v>
      </c>
      <c r="T798" s="31" t="s">
        <v>46</v>
      </c>
      <c r="U798" s="31" t="s">
        <v>46</v>
      </c>
    </row>
    <row r="799" spans="1:21" x14ac:dyDescent="0.2">
      <c r="A799" s="31">
        <v>0.97047489516037622</v>
      </c>
      <c r="B799" s="46" t="s">
        <v>926</v>
      </c>
      <c r="C799" s="32">
        <v>0</v>
      </c>
      <c r="D799" s="32">
        <v>1</v>
      </c>
      <c r="E799" s="31">
        <v>0.50000000052480864</v>
      </c>
      <c r="F799" s="31">
        <v>0</v>
      </c>
      <c r="G799" s="31">
        <v>0</v>
      </c>
      <c r="H799" s="31">
        <v>0</v>
      </c>
      <c r="I799" s="31">
        <v>0</v>
      </c>
      <c r="J799" s="47" t="s">
        <v>927</v>
      </c>
      <c r="K799" s="32">
        <v>0</v>
      </c>
      <c r="L799" s="32">
        <v>1</v>
      </c>
      <c r="M799" s="31">
        <v>-0.50000000052480864</v>
      </c>
      <c r="N799" s="31">
        <v>0</v>
      </c>
      <c r="O799" s="31">
        <v>0</v>
      </c>
      <c r="P799" s="31">
        <v>0</v>
      </c>
      <c r="Q799" s="31">
        <v>0</v>
      </c>
      <c r="R799" s="31">
        <v>0</v>
      </c>
      <c r="S799" s="31">
        <v>0</v>
      </c>
      <c r="T799" s="31" t="s">
        <v>46</v>
      </c>
      <c r="U799" s="31" t="s">
        <v>46</v>
      </c>
    </row>
    <row r="800" spans="1:21" x14ac:dyDescent="0.2">
      <c r="A800" s="31">
        <v>0.97755865351921112</v>
      </c>
      <c r="B800" s="46" t="s">
        <v>928</v>
      </c>
      <c r="C800" s="32">
        <v>0</v>
      </c>
      <c r="D800" s="32">
        <v>1</v>
      </c>
      <c r="E800" s="31">
        <v>0.50000000052480864</v>
      </c>
      <c r="F800" s="31">
        <v>0</v>
      </c>
      <c r="G800" s="31">
        <v>0</v>
      </c>
      <c r="H800" s="31">
        <v>0</v>
      </c>
      <c r="I800" s="31">
        <v>0</v>
      </c>
      <c r="J800" s="47" t="s">
        <v>929</v>
      </c>
      <c r="K800" s="32">
        <v>0</v>
      </c>
      <c r="L800" s="32">
        <v>1</v>
      </c>
      <c r="M800" s="31">
        <v>-0.50000000052480864</v>
      </c>
      <c r="N800" s="31">
        <v>0</v>
      </c>
      <c r="O800" s="31">
        <v>0</v>
      </c>
      <c r="P800" s="31">
        <v>0</v>
      </c>
      <c r="Q800" s="31">
        <v>0</v>
      </c>
      <c r="R800" s="31">
        <v>0</v>
      </c>
      <c r="S800" s="31">
        <v>0</v>
      </c>
      <c r="T800" s="31" t="s">
        <v>46</v>
      </c>
      <c r="U800" s="31" t="s">
        <v>46</v>
      </c>
    </row>
    <row r="801" spans="1:21" x14ac:dyDescent="0.2">
      <c r="A801" s="31">
        <v>0.98464241187804602</v>
      </c>
      <c r="B801" s="46" t="s">
        <v>930</v>
      </c>
      <c r="C801" s="32">
        <v>0</v>
      </c>
      <c r="D801" s="32">
        <v>1</v>
      </c>
      <c r="E801" s="31">
        <v>0.50000000052480864</v>
      </c>
      <c r="F801" s="31">
        <v>0</v>
      </c>
      <c r="G801" s="31">
        <v>0</v>
      </c>
      <c r="H801" s="31">
        <v>0</v>
      </c>
      <c r="I801" s="31">
        <v>0</v>
      </c>
      <c r="J801" s="47" t="s">
        <v>931</v>
      </c>
      <c r="K801" s="32">
        <v>0</v>
      </c>
      <c r="L801" s="32">
        <v>1</v>
      </c>
      <c r="M801" s="31">
        <v>-0.50000000052480864</v>
      </c>
      <c r="N801" s="31">
        <v>0</v>
      </c>
      <c r="O801" s="31">
        <v>0</v>
      </c>
      <c r="P801" s="31">
        <v>0</v>
      </c>
      <c r="Q801" s="31">
        <v>0</v>
      </c>
      <c r="R801" s="31">
        <v>0</v>
      </c>
      <c r="S801" s="31">
        <v>0</v>
      </c>
      <c r="T801" s="31" t="s">
        <v>46</v>
      </c>
      <c r="U801" s="31" t="s">
        <v>46</v>
      </c>
    </row>
    <row r="802" spans="1:21" x14ac:dyDescent="0.2">
      <c r="A802" s="31">
        <v>0.99172617023688081</v>
      </c>
      <c r="B802" s="46" t="s">
        <v>932</v>
      </c>
      <c r="C802" s="32">
        <v>0</v>
      </c>
      <c r="D802" s="32">
        <v>1</v>
      </c>
      <c r="E802" s="31">
        <v>0.50000000052480864</v>
      </c>
      <c r="F802" s="31">
        <v>0</v>
      </c>
      <c r="G802" s="31">
        <v>0</v>
      </c>
      <c r="H802" s="31">
        <v>0</v>
      </c>
      <c r="I802" s="31">
        <v>0</v>
      </c>
      <c r="J802" s="47" t="s">
        <v>933</v>
      </c>
      <c r="K802" s="32">
        <v>0</v>
      </c>
      <c r="L802" s="32">
        <v>1</v>
      </c>
      <c r="M802" s="31">
        <v>-0.50000000052480864</v>
      </c>
      <c r="N802" s="31">
        <v>0</v>
      </c>
      <c r="O802" s="31">
        <v>0</v>
      </c>
      <c r="P802" s="31">
        <v>0</v>
      </c>
      <c r="Q802" s="31">
        <v>0</v>
      </c>
      <c r="R802" s="31">
        <v>0</v>
      </c>
      <c r="S802" s="31">
        <v>0</v>
      </c>
      <c r="T802" s="31" t="s">
        <v>46</v>
      </c>
      <c r="U802" s="31" t="s">
        <v>46</v>
      </c>
    </row>
    <row r="803" spans="1:21" x14ac:dyDescent="0.2">
      <c r="A803" s="31">
        <v>0.99880992859571571</v>
      </c>
      <c r="B803" s="46" t="s">
        <v>934</v>
      </c>
      <c r="C803" s="32">
        <v>0</v>
      </c>
      <c r="D803" s="32">
        <v>1</v>
      </c>
      <c r="E803" s="31">
        <v>0.50000000052480864</v>
      </c>
      <c r="F803" s="31">
        <v>0</v>
      </c>
      <c r="G803" s="31">
        <v>0</v>
      </c>
      <c r="H803" s="31">
        <v>0</v>
      </c>
      <c r="I803" s="31">
        <v>0</v>
      </c>
      <c r="J803" s="47" t="s">
        <v>935</v>
      </c>
      <c r="K803" s="32">
        <v>0</v>
      </c>
      <c r="L803" s="32">
        <v>1</v>
      </c>
      <c r="M803" s="31">
        <v>-0.50000000052480864</v>
      </c>
      <c r="N803" s="31">
        <v>0</v>
      </c>
      <c r="O803" s="31">
        <v>0</v>
      </c>
      <c r="P803" s="31">
        <v>0</v>
      </c>
      <c r="Q803" s="31">
        <v>0</v>
      </c>
      <c r="R803" s="31">
        <v>0</v>
      </c>
      <c r="S803" s="31">
        <v>0</v>
      </c>
      <c r="T803" s="31" t="s">
        <v>46</v>
      </c>
      <c r="U803" s="31" t="s">
        <v>46</v>
      </c>
    </row>
    <row r="804" spans="1:21" x14ac:dyDescent="0.2">
      <c r="A804" s="31">
        <v>1.0058936869545505</v>
      </c>
      <c r="B804" s="46" t="s">
        <v>936</v>
      </c>
      <c r="C804" s="32">
        <v>0</v>
      </c>
      <c r="D804" s="32">
        <v>1</v>
      </c>
      <c r="E804" s="31">
        <v>0.50000000052480864</v>
      </c>
      <c r="F804" s="31">
        <v>0</v>
      </c>
      <c r="G804" s="31">
        <v>0</v>
      </c>
      <c r="H804" s="31">
        <v>0</v>
      </c>
      <c r="I804" s="31">
        <v>0</v>
      </c>
      <c r="J804" s="47" t="s">
        <v>937</v>
      </c>
      <c r="K804" s="32">
        <v>0</v>
      </c>
      <c r="L804" s="32">
        <v>1</v>
      </c>
      <c r="M804" s="31">
        <v>-0.50000000052480864</v>
      </c>
      <c r="N804" s="31">
        <v>0</v>
      </c>
      <c r="O804" s="31">
        <v>0</v>
      </c>
      <c r="P804" s="31">
        <v>0</v>
      </c>
      <c r="Q804" s="31">
        <v>0</v>
      </c>
      <c r="R804" s="31">
        <v>0</v>
      </c>
      <c r="S804" s="31">
        <v>0</v>
      </c>
      <c r="T804" s="31" t="s">
        <v>46</v>
      </c>
      <c r="U804" s="31" t="s">
        <v>46</v>
      </c>
    </row>
    <row r="805" spans="1:21" x14ac:dyDescent="0.2">
      <c r="A805" s="31">
        <v>1.0129774453133855</v>
      </c>
      <c r="B805" s="46" t="s">
        <v>938</v>
      </c>
      <c r="C805" s="32">
        <v>0</v>
      </c>
      <c r="D805" s="32">
        <v>1</v>
      </c>
      <c r="E805" s="31">
        <v>0.50000000052480864</v>
      </c>
      <c r="F805" s="31">
        <v>0</v>
      </c>
      <c r="G805" s="31">
        <v>0</v>
      </c>
      <c r="H805" s="31">
        <v>0</v>
      </c>
      <c r="I805" s="31">
        <v>0</v>
      </c>
      <c r="J805" s="47" t="s">
        <v>939</v>
      </c>
      <c r="K805" s="32">
        <v>0</v>
      </c>
      <c r="L805" s="32">
        <v>1</v>
      </c>
      <c r="M805" s="31">
        <v>-0.50000000052480864</v>
      </c>
      <c r="N805" s="31">
        <v>0</v>
      </c>
      <c r="O805" s="31">
        <v>0</v>
      </c>
      <c r="P805" s="31">
        <v>0</v>
      </c>
      <c r="Q805" s="31">
        <v>0</v>
      </c>
      <c r="R805" s="31">
        <v>0</v>
      </c>
      <c r="S805" s="31">
        <v>0</v>
      </c>
      <c r="T805" s="31" t="s">
        <v>46</v>
      </c>
      <c r="U805" s="31" t="s">
        <v>46</v>
      </c>
    </row>
    <row r="806" spans="1:21" x14ac:dyDescent="0.2">
      <c r="A806" s="31">
        <v>1.0200612036722203</v>
      </c>
      <c r="B806" s="46" t="s">
        <v>940</v>
      </c>
      <c r="C806" s="32">
        <v>0</v>
      </c>
      <c r="D806" s="32">
        <v>1</v>
      </c>
      <c r="E806" s="31">
        <v>0.50000000052480864</v>
      </c>
      <c r="F806" s="31">
        <v>0</v>
      </c>
      <c r="G806" s="31">
        <v>0</v>
      </c>
      <c r="H806" s="31">
        <v>0</v>
      </c>
      <c r="I806" s="31">
        <v>0</v>
      </c>
      <c r="J806" s="47" t="s">
        <v>941</v>
      </c>
      <c r="K806" s="32">
        <v>0</v>
      </c>
      <c r="L806" s="32">
        <v>1</v>
      </c>
      <c r="M806" s="31">
        <v>-0.50000000052480864</v>
      </c>
      <c r="N806" s="31">
        <v>0</v>
      </c>
      <c r="O806" s="31">
        <v>0</v>
      </c>
      <c r="P806" s="31">
        <v>0</v>
      </c>
      <c r="Q806" s="31">
        <v>0</v>
      </c>
      <c r="R806" s="31">
        <v>0</v>
      </c>
      <c r="S806" s="31">
        <v>0</v>
      </c>
      <c r="T806" s="31" t="s">
        <v>46</v>
      </c>
      <c r="U806" s="31" t="s">
        <v>46</v>
      </c>
    </row>
    <row r="807" spans="1:21" x14ac:dyDescent="0.2">
      <c r="A807" s="31">
        <v>1.0271449620310551</v>
      </c>
      <c r="B807" s="46" t="s">
        <v>942</v>
      </c>
      <c r="C807" s="32">
        <v>0</v>
      </c>
      <c r="D807" s="32">
        <v>1</v>
      </c>
      <c r="E807" s="31">
        <v>0.50000000052480864</v>
      </c>
      <c r="F807" s="31">
        <v>0</v>
      </c>
      <c r="G807" s="31">
        <v>0</v>
      </c>
      <c r="H807" s="31">
        <v>0</v>
      </c>
      <c r="I807" s="31">
        <v>0</v>
      </c>
      <c r="J807" s="47" t="s">
        <v>943</v>
      </c>
      <c r="K807" s="32">
        <v>0</v>
      </c>
      <c r="L807" s="32">
        <v>1</v>
      </c>
      <c r="M807" s="31">
        <v>-0.50000000052480864</v>
      </c>
      <c r="N807" s="31">
        <v>0</v>
      </c>
      <c r="O807" s="31">
        <v>0</v>
      </c>
      <c r="P807" s="31">
        <v>0</v>
      </c>
      <c r="Q807" s="31">
        <v>0</v>
      </c>
      <c r="R807" s="31">
        <v>0</v>
      </c>
      <c r="S807" s="31">
        <v>0</v>
      </c>
      <c r="T807" s="31" t="s">
        <v>46</v>
      </c>
      <c r="U807" s="31" t="s">
        <v>46</v>
      </c>
    </row>
    <row r="808" spans="1:21" x14ac:dyDescent="0.2">
      <c r="A808" s="31">
        <v>1.0342287203898901</v>
      </c>
      <c r="B808" s="46" t="s">
        <v>944</v>
      </c>
      <c r="C808" s="32">
        <v>0</v>
      </c>
      <c r="D808" s="32">
        <v>1</v>
      </c>
      <c r="E808" s="31">
        <v>0.50000000052480864</v>
      </c>
      <c r="F808" s="31">
        <v>0</v>
      </c>
      <c r="G808" s="31">
        <v>0</v>
      </c>
      <c r="H808" s="31">
        <v>0</v>
      </c>
      <c r="I808" s="31">
        <v>0</v>
      </c>
      <c r="J808" s="47" t="s">
        <v>945</v>
      </c>
      <c r="K808" s="32">
        <v>0</v>
      </c>
      <c r="L808" s="32">
        <v>1</v>
      </c>
      <c r="M808" s="31">
        <v>-0.50000000052480864</v>
      </c>
      <c r="N808" s="31">
        <v>0</v>
      </c>
      <c r="O808" s="31">
        <v>0</v>
      </c>
      <c r="P808" s="31">
        <v>0</v>
      </c>
      <c r="Q808" s="31">
        <v>0</v>
      </c>
      <c r="R808" s="31">
        <v>0</v>
      </c>
      <c r="S808" s="31">
        <v>0</v>
      </c>
      <c r="T808" s="31" t="s">
        <v>46</v>
      </c>
      <c r="U808" s="31" t="s">
        <v>46</v>
      </c>
    </row>
    <row r="809" spans="1:21" x14ac:dyDescent="0.2">
      <c r="A809" s="31">
        <v>1.0413124787487249</v>
      </c>
      <c r="B809" s="46" t="s">
        <v>946</v>
      </c>
      <c r="C809" s="32">
        <v>0</v>
      </c>
      <c r="D809" s="32">
        <v>1</v>
      </c>
      <c r="E809" s="31">
        <v>0.50000000052480864</v>
      </c>
      <c r="F809" s="31">
        <v>0</v>
      </c>
      <c r="G809" s="31">
        <v>0</v>
      </c>
      <c r="H809" s="31">
        <v>0</v>
      </c>
      <c r="I809" s="31">
        <v>0</v>
      </c>
      <c r="J809" s="47" t="s">
        <v>947</v>
      </c>
      <c r="K809" s="32">
        <v>0</v>
      </c>
      <c r="L809" s="32">
        <v>1</v>
      </c>
      <c r="M809" s="31">
        <v>-0.50000000052480864</v>
      </c>
      <c r="N809" s="31">
        <v>0</v>
      </c>
      <c r="O809" s="31">
        <v>0</v>
      </c>
      <c r="P809" s="31">
        <v>0</v>
      </c>
      <c r="Q809" s="31">
        <v>0</v>
      </c>
      <c r="R809" s="31">
        <v>0</v>
      </c>
      <c r="S809" s="31">
        <v>0</v>
      </c>
      <c r="T809" s="31" t="s">
        <v>46</v>
      </c>
      <c r="U809" s="31" t="s">
        <v>46</v>
      </c>
    </row>
    <row r="810" spans="1:21" x14ac:dyDescent="0.2">
      <c r="A810" s="31">
        <v>1.0483962371075597</v>
      </c>
      <c r="B810" s="46" t="s">
        <v>948</v>
      </c>
      <c r="C810" s="32">
        <v>0</v>
      </c>
      <c r="D810" s="32">
        <v>1</v>
      </c>
      <c r="E810" s="31">
        <v>0.50000000052480864</v>
      </c>
      <c r="F810" s="31">
        <v>0</v>
      </c>
      <c r="G810" s="31">
        <v>0</v>
      </c>
      <c r="H810" s="31">
        <v>0</v>
      </c>
      <c r="I810" s="31">
        <v>0</v>
      </c>
      <c r="J810" s="47" t="s">
        <v>949</v>
      </c>
      <c r="K810" s="32">
        <v>0</v>
      </c>
      <c r="L810" s="32">
        <v>1</v>
      </c>
      <c r="M810" s="31">
        <v>-0.50000000052480864</v>
      </c>
      <c r="N810" s="31">
        <v>0</v>
      </c>
      <c r="O810" s="31">
        <v>0</v>
      </c>
      <c r="P810" s="31">
        <v>0</v>
      </c>
      <c r="Q810" s="31">
        <v>0</v>
      </c>
      <c r="R810" s="31">
        <v>0</v>
      </c>
      <c r="S810" s="31">
        <v>0</v>
      </c>
      <c r="T810" s="31" t="s">
        <v>46</v>
      </c>
      <c r="U810" s="31" t="s">
        <v>46</v>
      </c>
    </row>
    <row r="811" spans="1:21" x14ac:dyDescent="0.2">
      <c r="A811" s="31">
        <v>1.0554799954663947</v>
      </c>
      <c r="B811" s="46" t="s">
        <v>950</v>
      </c>
      <c r="C811" s="32">
        <v>0</v>
      </c>
      <c r="D811" s="32">
        <v>1</v>
      </c>
      <c r="E811" s="31">
        <v>0.50000000052480864</v>
      </c>
      <c r="F811" s="31">
        <v>0</v>
      </c>
      <c r="G811" s="31">
        <v>0</v>
      </c>
      <c r="H811" s="31">
        <v>0</v>
      </c>
      <c r="I811" s="31">
        <v>0</v>
      </c>
      <c r="J811" s="47" t="s">
        <v>951</v>
      </c>
      <c r="K811" s="32">
        <v>0</v>
      </c>
      <c r="L811" s="32">
        <v>1</v>
      </c>
      <c r="M811" s="31">
        <v>-0.50000000052480864</v>
      </c>
      <c r="N811" s="31">
        <v>0</v>
      </c>
      <c r="O811" s="31">
        <v>0</v>
      </c>
      <c r="P811" s="31">
        <v>0</v>
      </c>
      <c r="Q811" s="31">
        <v>0</v>
      </c>
      <c r="R811" s="31">
        <v>0</v>
      </c>
      <c r="S811" s="31">
        <v>0</v>
      </c>
      <c r="T811" s="31" t="s">
        <v>46</v>
      </c>
      <c r="U811" s="31" t="s">
        <v>46</v>
      </c>
    </row>
    <row r="812" spans="1:21" x14ac:dyDescent="0.2">
      <c r="A812" s="31">
        <v>1.0625637538252295</v>
      </c>
      <c r="B812" s="46" t="s">
        <v>952</v>
      </c>
      <c r="C812" s="32">
        <v>0</v>
      </c>
      <c r="D812" s="32">
        <v>1</v>
      </c>
      <c r="E812" s="31">
        <v>0.50000000052480864</v>
      </c>
      <c r="F812" s="31">
        <v>0</v>
      </c>
      <c r="G812" s="31">
        <v>0</v>
      </c>
      <c r="H812" s="31">
        <v>0</v>
      </c>
      <c r="I812" s="31">
        <v>0</v>
      </c>
      <c r="J812" s="47" t="s">
        <v>953</v>
      </c>
      <c r="K812" s="32">
        <v>0</v>
      </c>
      <c r="L812" s="32">
        <v>1</v>
      </c>
      <c r="M812" s="31">
        <v>-0.50000000052480864</v>
      </c>
      <c r="N812" s="31">
        <v>0</v>
      </c>
      <c r="O812" s="31">
        <v>0</v>
      </c>
      <c r="P812" s="31">
        <v>0</v>
      </c>
      <c r="Q812" s="31">
        <v>0</v>
      </c>
      <c r="R812" s="31">
        <v>0</v>
      </c>
      <c r="S812" s="31">
        <v>0</v>
      </c>
      <c r="T812" s="31" t="s">
        <v>46</v>
      </c>
      <c r="U812" s="31" t="s">
        <v>46</v>
      </c>
    </row>
    <row r="813" spans="1:21" x14ac:dyDescent="0.2">
      <c r="A813" s="31">
        <v>1.0696475121840643</v>
      </c>
      <c r="B813" s="46" t="s">
        <v>954</v>
      </c>
      <c r="C813" s="32">
        <v>0</v>
      </c>
      <c r="D813" s="32">
        <v>1</v>
      </c>
      <c r="E813" s="31">
        <v>0.50000000052480864</v>
      </c>
      <c r="F813" s="31">
        <v>0</v>
      </c>
      <c r="G813" s="31">
        <v>0</v>
      </c>
      <c r="H813" s="31">
        <v>0</v>
      </c>
      <c r="I813" s="31">
        <v>0</v>
      </c>
      <c r="J813" s="47" t="s">
        <v>955</v>
      </c>
      <c r="K813" s="32">
        <v>0</v>
      </c>
      <c r="L813" s="32">
        <v>1</v>
      </c>
      <c r="M813" s="31">
        <v>-0.50000000052480864</v>
      </c>
      <c r="N813" s="31">
        <v>0</v>
      </c>
      <c r="O813" s="31">
        <v>0</v>
      </c>
      <c r="P813" s="31">
        <v>0</v>
      </c>
      <c r="Q813" s="31">
        <v>0</v>
      </c>
      <c r="R813" s="31">
        <v>0</v>
      </c>
      <c r="S813" s="31">
        <v>0</v>
      </c>
      <c r="T813" s="31" t="s">
        <v>46</v>
      </c>
      <c r="U813" s="31" t="s">
        <v>46</v>
      </c>
    </row>
    <row r="814" spans="1:21" x14ac:dyDescent="0.2">
      <c r="A814" s="31">
        <v>1.0767312705428993</v>
      </c>
      <c r="B814" s="46" t="s">
        <v>956</v>
      </c>
      <c r="C814" s="32">
        <v>0</v>
      </c>
      <c r="D814" s="32">
        <v>1</v>
      </c>
      <c r="E814" s="31">
        <v>0.50000000052480864</v>
      </c>
      <c r="F814" s="31">
        <v>0</v>
      </c>
      <c r="G814" s="31">
        <v>0</v>
      </c>
      <c r="H814" s="31">
        <v>0</v>
      </c>
      <c r="I814" s="31">
        <v>0</v>
      </c>
      <c r="J814" s="47" t="s">
        <v>957</v>
      </c>
      <c r="K814" s="32">
        <v>0</v>
      </c>
      <c r="L814" s="32">
        <v>1</v>
      </c>
      <c r="M814" s="31">
        <v>-0.50000000052480864</v>
      </c>
      <c r="N814" s="31">
        <v>0</v>
      </c>
      <c r="O814" s="31">
        <v>0</v>
      </c>
      <c r="P814" s="31">
        <v>0</v>
      </c>
      <c r="Q814" s="31">
        <v>0</v>
      </c>
      <c r="R814" s="31">
        <v>0</v>
      </c>
      <c r="S814" s="31">
        <v>0</v>
      </c>
      <c r="T814" s="31" t="s">
        <v>46</v>
      </c>
      <c r="U814" s="31" t="s">
        <v>46</v>
      </c>
    </row>
    <row r="815" spans="1:21" x14ac:dyDescent="0.2">
      <c r="A815" s="31">
        <v>1.0838150289017341</v>
      </c>
      <c r="B815" s="46" t="s">
        <v>958</v>
      </c>
      <c r="C815" s="32">
        <v>0</v>
      </c>
      <c r="D815" s="32">
        <v>1</v>
      </c>
      <c r="E815" s="31">
        <v>0.50000000052480864</v>
      </c>
      <c r="F815" s="31">
        <v>0</v>
      </c>
      <c r="G815" s="31">
        <v>0</v>
      </c>
      <c r="H815" s="31">
        <v>0</v>
      </c>
      <c r="I815" s="31">
        <v>0</v>
      </c>
      <c r="J815" s="47" t="s">
        <v>959</v>
      </c>
      <c r="K815" s="32">
        <v>0</v>
      </c>
      <c r="L815" s="32">
        <v>1</v>
      </c>
      <c r="M815" s="31">
        <v>-0.50000000052480864</v>
      </c>
      <c r="N815" s="31">
        <v>0</v>
      </c>
      <c r="O815" s="31">
        <v>0</v>
      </c>
      <c r="P815" s="31">
        <v>0</v>
      </c>
      <c r="Q815" s="31">
        <v>0</v>
      </c>
      <c r="R815" s="31">
        <v>0</v>
      </c>
      <c r="S815" s="31">
        <v>0</v>
      </c>
      <c r="T815" s="31" t="s">
        <v>46</v>
      </c>
      <c r="U815" s="31" t="s">
        <v>46</v>
      </c>
    </row>
    <row r="816" spans="1:21" x14ac:dyDescent="0.2">
      <c r="A816" s="31">
        <v>1.0908987872605689</v>
      </c>
      <c r="B816" s="46" t="s">
        <v>960</v>
      </c>
      <c r="C816" s="32">
        <v>0</v>
      </c>
      <c r="D816" s="32">
        <v>1</v>
      </c>
      <c r="E816" s="31">
        <v>0.50000000052480864</v>
      </c>
      <c r="F816" s="31">
        <v>0</v>
      </c>
      <c r="G816" s="31">
        <v>0</v>
      </c>
      <c r="H816" s="31">
        <v>0</v>
      </c>
      <c r="I816" s="31">
        <v>0</v>
      </c>
      <c r="J816" s="47" t="s">
        <v>961</v>
      </c>
      <c r="K816" s="32">
        <v>0</v>
      </c>
      <c r="L816" s="32">
        <v>1</v>
      </c>
      <c r="M816" s="31">
        <v>-0.50000000052480864</v>
      </c>
      <c r="N816" s="31">
        <v>0</v>
      </c>
      <c r="O816" s="31">
        <v>0</v>
      </c>
      <c r="P816" s="31">
        <v>0</v>
      </c>
      <c r="Q816" s="31">
        <v>0</v>
      </c>
      <c r="R816" s="31">
        <v>0</v>
      </c>
      <c r="S816" s="31">
        <v>0</v>
      </c>
      <c r="T816" s="31" t="s">
        <v>46</v>
      </c>
      <c r="U816" s="31" t="s">
        <v>46</v>
      </c>
    </row>
    <row r="817" spans="1:21" x14ac:dyDescent="0.2">
      <c r="A817" s="31">
        <v>1.0979825456194037</v>
      </c>
      <c r="B817" s="46" t="s">
        <v>962</v>
      </c>
      <c r="C817" s="32">
        <v>0</v>
      </c>
      <c r="D817" s="32">
        <v>1</v>
      </c>
      <c r="E817" s="31">
        <v>0.50000000052480864</v>
      </c>
      <c r="F817" s="31">
        <v>0</v>
      </c>
      <c r="G817" s="31">
        <v>0</v>
      </c>
      <c r="H817" s="31">
        <v>0</v>
      </c>
      <c r="I817" s="31">
        <v>0</v>
      </c>
      <c r="J817" s="47" t="s">
        <v>963</v>
      </c>
      <c r="K817" s="32">
        <v>0</v>
      </c>
      <c r="L817" s="32">
        <v>1</v>
      </c>
      <c r="M817" s="31">
        <v>-0.50000000052480864</v>
      </c>
      <c r="N817" s="31">
        <v>0</v>
      </c>
      <c r="O817" s="31">
        <v>0</v>
      </c>
      <c r="P817" s="31">
        <v>0</v>
      </c>
      <c r="Q817" s="31">
        <v>0</v>
      </c>
      <c r="R817" s="31">
        <v>0</v>
      </c>
      <c r="S817" s="31">
        <v>0</v>
      </c>
      <c r="T817" s="31" t="s">
        <v>46</v>
      </c>
      <c r="U817" s="31" t="s">
        <v>46</v>
      </c>
    </row>
    <row r="818" spans="1:21" x14ac:dyDescent="0.2">
      <c r="A818" s="31">
        <v>1.1050663039782387</v>
      </c>
      <c r="B818" s="46" t="s">
        <v>964</v>
      </c>
      <c r="C818" s="32">
        <v>0</v>
      </c>
      <c r="D818" s="32">
        <v>1</v>
      </c>
      <c r="E818" s="31">
        <v>0.50000000052480864</v>
      </c>
      <c r="F818" s="31">
        <v>0</v>
      </c>
      <c r="G818" s="31">
        <v>0</v>
      </c>
      <c r="H818" s="31">
        <v>0</v>
      </c>
      <c r="I818" s="31">
        <v>0</v>
      </c>
      <c r="J818" s="47" t="s">
        <v>965</v>
      </c>
      <c r="K818" s="32">
        <v>0</v>
      </c>
      <c r="L818" s="32">
        <v>1</v>
      </c>
      <c r="M818" s="31">
        <v>-0.50000000052480864</v>
      </c>
      <c r="N818" s="31">
        <v>0</v>
      </c>
      <c r="O818" s="31">
        <v>0</v>
      </c>
      <c r="P818" s="31">
        <v>0</v>
      </c>
      <c r="Q818" s="31">
        <v>0</v>
      </c>
      <c r="R818" s="31">
        <v>0</v>
      </c>
      <c r="S818" s="31">
        <v>0</v>
      </c>
      <c r="T818" s="31" t="s">
        <v>46</v>
      </c>
      <c r="U818" s="31" t="s">
        <v>46</v>
      </c>
    </row>
    <row r="819" spans="1:21" x14ac:dyDescent="0.2">
      <c r="A819" s="31">
        <v>1.1121500623370735</v>
      </c>
      <c r="B819" s="46" t="s">
        <v>966</v>
      </c>
      <c r="C819" s="32">
        <v>0</v>
      </c>
      <c r="D819" s="32">
        <v>1</v>
      </c>
      <c r="E819" s="31">
        <v>0.50000000052480864</v>
      </c>
      <c r="F819" s="31">
        <v>0</v>
      </c>
      <c r="G819" s="31">
        <v>0</v>
      </c>
      <c r="H819" s="31">
        <v>0</v>
      </c>
      <c r="I819" s="31">
        <v>0</v>
      </c>
      <c r="J819" s="47" t="s">
        <v>967</v>
      </c>
      <c r="K819" s="32">
        <v>0</v>
      </c>
      <c r="L819" s="32">
        <v>1</v>
      </c>
      <c r="M819" s="31">
        <v>-0.50000000052480864</v>
      </c>
      <c r="N819" s="31">
        <v>0</v>
      </c>
      <c r="O819" s="31">
        <v>0</v>
      </c>
      <c r="P819" s="31">
        <v>0</v>
      </c>
      <c r="Q819" s="31">
        <v>0</v>
      </c>
      <c r="R819" s="31">
        <v>0</v>
      </c>
      <c r="S819" s="31">
        <v>0</v>
      </c>
      <c r="T819" s="31" t="s">
        <v>46</v>
      </c>
      <c r="U819" s="31" t="s">
        <v>46</v>
      </c>
    </row>
    <row r="820" spans="1:21" x14ac:dyDescent="0.2">
      <c r="A820" s="31">
        <v>1.1192338206959083</v>
      </c>
      <c r="B820" s="46" t="s">
        <v>968</v>
      </c>
      <c r="C820" s="32">
        <v>0</v>
      </c>
      <c r="D820" s="32">
        <v>1</v>
      </c>
      <c r="E820" s="31">
        <v>0.50000000052480864</v>
      </c>
      <c r="F820" s="31">
        <v>0</v>
      </c>
      <c r="G820" s="31">
        <v>0</v>
      </c>
      <c r="H820" s="31">
        <v>0</v>
      </c>
      <c r="I820" s="31">
        <v>0</v>
      </c>
      <c r="J820" s="47" t="s">
        <v>969</v>
      </c>
      <c r="K820" s="32">
        <v>0</v>
      </c>
      <c r="L820" s="32">
        <v>1</v>
      </c>
      <c r="M820" s="31">
        <v>-0.50000000052480864</v>
      </c>
      <c r="N820" s="31">
        <v>0</v>
      </c>
      <c r="O820" s="31">
        <v>0</v>
      </c>
      <c r="P820" s="31">
        <v>0</v>
      </c>
      <c r="Q820" s="31">
        <v>0</v>
      </c>
      <c r="R820" s="31">
        <v>0</v>
      </c>
      <c r="S820" s="31">
        <v>0</v>
      </c>
      <c r="T820" s="31" t="s">
        <v>46</v>
      </c>
      <c r="U820" s="31" t="s">
        <v>46</v>
      </c>
    </row>
    <row r="821" spans="1:21" x14ac:dyDescent="0.2">
      <c r="A821" s="31">
        <v>1.1263175790547433</v>
      </c>
      <c r="B821" s="46" t="s">
        <v>970</v>
      </c>
      <c r="C821" s="32">
        <v>0</v>
      </c>
      <c r="D821" s="32">
        <v>1</v>
      </c>
      <c r="E821" s="31">
        <v>0.50000000052480864</v>
      </c>
      <c r="F821" s="31">
        <v>0</v>
      </c>
      <c r="G821" s="31">
        <v>0</v>
      </c>
      <c r="H821" s="31">
        <v>0</v>
      </c>
      <c r="I821" s="31">
        <v>0</v>
      </c>
      <c r="J821" s="47" t="s">
        <v>971</v>
      </c>
      <c r="K821" s="32">
        <v>0</v>
      </c>
      <c r="L821" s="32">
        <v>1</v>
      </c>
      <c r="M821" s="31">
        <v>-0.50000000052480864</v>
      </c>
      <c r="N821" s="31">
        <v>0</v>
      </c>
      <c r="O821" s="31">
        <v>0</v>
      </c>
      <c r="P821" s="31">
        <v>0</v>
      </c>
      <c r="Q821" s="31">
        <v>0</v>
      </c>
      <c r="R821" s="31">
        <v>0</v>
      </c>
      <c r="S821" s="31">
        <v>0</v>
      </c>
      <c r="T821" s="31" t="s">
        <v>46</v>
      </c>
      <c r="U821" s="31" t="s">
        <v>46</v>
      </c>
    </row>
    <row r="822" spans="1:21" x14ac:dyDescent="0.2">
      <c r="A822" s="31">
        <v>1.1334013374135781</v>
      </c>
      <c r="B822" s="46" t="s">
        <v>972</v>
      </c>
      <c r="C822" s="32">
        <v>0</v>
      </c>
      <c r="D822" s="32">
        <v>1</v>
      </c>
      <c r="E822" s="31">
        <v>0.50000000052480864</v>
      </c>
      <c r="F822" s="31">
        <v>0</v>
      </c>
      <c r="G822" s="31">
        <v>0</v>
      </c>
      <c r="H822" s="31">
        <v>0</v>
      </c>
      <c r="I822" s="31">
        <v>0</v>
      </c>
      <c r="J822" s="47" t="s">
        <v>973</v>
      </c>
      <c r="K822" s="32">
        <v>0</v>
      </c>
      <c r="L822" s="32">
        <v>1</v>
      </c>
      <c r="M822" s="31">
        <v>-0.50000000052480864</v>
      </c>
      <c r="N822" s="31">
        <v>0</v>
      </c>
      <c r="O822" s="31">
        <v>0</v>
      </c>
      <c r="P822" s="31">
        <v>0</v>
      </c>
      <c r="Q822" s="31">
        <v>0</v>
      </c>
      <c r="R822" s="31">
        <v>0</v>
      </c>
      <c r="S822" s="31">
        <v>0</v>
      </c>
      <c r="T822" s="31" t="s">
        <v>46</v>
      </c>
      <c r="U822" s="31" t="s">
        <v>46</v>
      </c>
    </row>
    <row r="823" spans="1:21" x14ac:dyDescent="0.2">
      <c r="A823" s="31">
        <v>1.1617363708489175</v>
      </c>
      <c r="B823" s="46" t="s">
        <v>974</v>
      </c>
      <c r="C823" s="32">
        <v>0</v>
      </c>
      <c r="D823" s="32">
        <v>1</v>
      </c>
      <c r="E823" s="31">
        <v>0.50000000052480864</v>
      </c>
      <c r="F823" s="31">
        <v>0</v>
      </c>
      <c r="G823" s="31">
        <v>0</v>
      </c>
      <c r="H823" s="31">
        <v>0</v>
      </c>
      <c r="I823" s="31">
        <v>0</v>
      </c>
      <c r="J823" s="47" t="s">
        <v>975</v>
      </c>
      <c r="K823" s="32">
        <v>0</v>
      </c>
      <c r="L823" s="32">
        <v>1</v>
      </c>
      <c r="M823" s="31">
        <v>-0.50000000052480864</v>
      </c>
      <c r="N823" s="31">
        <v>0</v>
      </c>
      <c r="O823" s="31">
        <v>0</v>
      </c>
      <c r="P823" s="31">
        <v>0</v>
      </c>
      <c r="Q823" s="31">
        <v>0</v>
      </c>
      <c r="R823" s="31">
        <v>0</v>
      </c>
      <c r="S823" s="31">
        <v>0</v>
      </c>
      <c r="T823" s="31" t="s">
        <v>46</v>
      </c>
      <c r="U823" s="31" t="s">
        <v>46</v>
      </c>
    </row>
    <row r="824" spans="1:21" x14ac:dyDescent="0.2">
      <c r="A824" s="31">
        <v>1.1900714042842571</v>
      </c>
      <c r="B824" s="46" t="s">
        <v>976</v>
      </c>
      <c r="C824" s="32">
        <v>0</v>
      </c>
      <c r="D824" s="32">
        <v>1</v>
      </c>
      <c r="E824" s="31">
        <v>0.50000000052480864</v>
      </c>
      <c r="F824" s="31">
        <v>0</v>
      </c>
      <c r="G824" s="31">
        <v>0</v>
      </c>
      <c r="H824" s="31">
        <v>0</v>
      </c>
      <c r="I824" s="31">
        <v>0</v>
      </c>
      <c r="J824" s="47" t="s">
        <v>977</v>
      </c>
      <c r="K824" s="32">
        <v>0</v>
      </c>
      <c r="L824" s="32">
        <v>1</v>
      </c>
      <c r="M824" s="31">
        <v>-0.50000000052480864</v>
      </c>
      <c r="N824" s="31">
        <v>0</v>
      </c>
      <c r="O824" s="31">
        <v>0</v>
      </c>
      <c r="P824" s="31">
        <v>0</v>
      </c>
      <c r="Q824" s="31">
        <v>0</v>
      </c>
      <c r="R824" s="31">
        <v>0</v>
      </c>
      <c r="S824" s="31">
        <v>0</v>
      </c>
      <c r="T824" s="31" t="s">
        <v>46</v>
      </c>
      <c r="U824" s="31" t="s">
        <v>46</v>
      </c>
    </row>
    <row r="825" spans="1:21" x14ac:dyDescent="0.2">
      <c r="A825" s="31">
        <v>1.2184064377195964</v>
      </c>
      <c r="B825" s="46" t="s">
        <v>978</v>
      </c>
      <c r="C825" s="32">
        <v>0</v>
      </c>
      <c r="D825" s="32">
        <v>1</v>
      </c>
      <c r="E825" s="31">
        <v>0.50000000052480864</v>
      </c>
      <c r="F825" s="31">
        <v>0</v>
      </c>
      <c r="G825" s="31">
        <v>0</v>
      </c>
      <c r="H825" s="31">
        <v>0</v>
      </c>
      <c r="I825" s="31">
        <v>0</v>
      </c>
      <c r="J825" s="47" t="s">
        <v>979</v>
      </c>
      <c r="K825" s="32">
        <v>0</v>
      </c>
      <c r="L825" s="32">
        <v>1</v>
      </c>
      <c r="M825" s="31">
        <v>-0.50000000052480864</v>
      </c>
      <c r="N825" s="31">
        <v>0</v>
      </c>
      <c r="O825" s="31">
        <v>0</v>
      </c>
      <c r="P825" s="31">
        <v>0</v>
      </c>
      <c r="Q825" s="31">
        <v>0</v>
      </c>
      <c r="R825" s="31">
        <v>0</v>
      </c>
      <c r="S825" s="31">
        <v>0</v>
      </c>
      <c r="T825" s="31" t="s">
        <v>46</v>
      </c>
      <c r="U825" s="31" t="s">
        <v>46</v>
      </c>
    </row>
    <row r="826" spans="1:21" x14ac:dyDescent="0.2">
      <c r="A826" s="31">
        <v>1.2467414711549358</v>
      </c>
      <c r="B826" s="46" t="s">
        <v>980</v>
      </c>
      <c r="C826" s="32">
        <v>0</v>
      </c>
      <c r="D826" s="32">
        <v>1</v>
      </c>
      <c r="E826" s="31">
        <v>0.50000000052480864</v>
      </c>
      <c r="F826" s="31">
        <v>0</v>
      </c>
      <c r="G826" s="31">
        <v>0</v>
      </c>
      <c r="H826" s="31">
        <v>0</v>
      </c>
      <c r="I826" s="31">
        <v>0</v>
      </c>
      <c r="J826" s="47" t="s">
        <v>981</v>
      </c>
      <c r="K826" s="32">
        <v>0</v>
      </c>
      <c r="L826" s="32">
        <v>1</v>
      </c>
      <c r="M826" s="31">
        <v>-0.50000000052480864</v>
      </c>
      <c r="N826" s="31">
        <v>0</v>
      </c>
      <c r="O826" s="31">
        <v>0</v>
      </c>
      <c r="P826" s="31">
        <v>0</v>
      </c>
      <c r="Q826" s="31">
        <v>0</v>
      </c>
      <c r="R826" s="31">
        <v>0</v>
      </c>
      <c r="S826" s="31">
        <v>0</v>
      </c>
      <c r="T826" s="31" t="s">
        <v>46</v>
      </c>
      <c r="U826" s="31" t="s">
        <v>46</v>
      </c>
    </row>
    <row r="827" spans="1:21" x14ac:dyDescent="0.2">
      <c r="A827" s="31">
        <v>1.2750765045902754</v>
      </c>
      <c r="B827" s="46" t="s">
        <v>982</v>
      </c>
      <c r="C827" s="32">
        <v>0</v>
      </c>
      <c r="D827" s="32">
        <v>1</v>
      </c>
      <c r="E827" s="31">
        <v>0.50000000052480864</v>
      </c>
      <c r="F827" s="31">
        <v>0</v>
      </c>
      <c r="G827" s="31">
        <v>0</v>
      </c>
      <c r="H827" s="31">
        <v>0</v>
      </c>
      <c r="I827" s="31">
        <v>0</v>
      </c>
      <c r="J827" s="47" t="s">
        <v>983</v>
      </c>
      <c r="K827" s="32">
        <v>0</v>
      </c>
      <c r="L827" s="32">
        <v>1</v>
      </c>
      <c r="M827" s="31">
        <v>-0.50000000052480864</v>
      </c>
      <c r="N827" s="31">
        <v>0</v>
      </c>
      <c r="O827" s="31">
        <v>0</v>
      </c>
      <c r="P827" s="31">
        <v>0</v>
      </c>
      <c r="Q827" s="31">
        <v>0</v>
      </c>
      <c r="R827" s="31">
        <v>0</v>
      </c>
      <c r="S827" s="31">
        <v>0</v>
      </c>
      <c r="T827" s="31" t="s">
        <v>46</v>
      </c>
      <c r="U827" s="31" t="s">
        <v>46</v>
      </c>
    </row>
    <row r="828" spans="1:21" x14ac:dyDescent="0.2">
      <c r="A828" s="31">
        <v>1.3034115380256148</v>
      </c>
      <c r="B828" s="46" t="s">
        <v>984</v>
      </c>
      <c r="C828" s="32">
        <v>0</v>
      </c>
      <c r="D828" s="32">
        <v>1</v>
      </c>
      <c r="E828" s="31">
        <v>0.50000000052480864</v>
      </c>
      <c r="F828" s="31">
        <v>0</v>
      </c>
      <c r="G828" s="31">
        <v>0</v>
      </c>
      <c r="H828" s="31">
        <v>0</v>
      </c>
      <c r="I828" s="31">
        <v>0</v>
      </c>
      <c r="J828" s="47" t="s">
        <v>985</v>
      </c>
      <c r="K828" s="32">
        <v>0</v>
      </c>
      <c r="L828" s="32">
        <v>1</v>
      </c>
      <c r="M828" s="31">
        <v>-0.50000000052480864</v>
      </c>
      <c r="N828" s="31">
        <v>0</v>
      </c>
      <c r="O828" s="31">
        <v>0</v>
      </c>
      <c r="P828" s="31">
        <v>0</v>
      </c>
      <c r="Q828" s="31">
        <v>0</v>
      </c>
      <c r="R828" s="31">
        <v>0</v>
      </c>
      <c r="S828" s="31">
        <v>0</v>
      </c>
      <c r="T828" s="31" t="s">
        <v>46</v>
      </c>
      <c r="U828" s="31" t="s">
        <v>46</v>
      </c>
    </row>
    <row r="829" spans="1:21" x14ac:dyDescent="0.2">
      <c r="A829" s="31">
        <v>1.3317465714609542</v>
      </c>
      <c r="B829" s="46" t="s">
        <v>986</v>
      </c>
      <c r="C829" s="32">
        <v>0</v>
      </c>
      <c r="D829" s="32">
        <v>1</v>
      </c>
      <c r="E829" s="31">
        <v>0.50000000052480864</v>
      </c>
      <c r="F829" s="31">
        <v>0</v>
      </c>
      <c r="G829" s="31">
        <v>0</v>
      </c>
      <c r="H829" s="31">
        <v>0</v>
      </c>
      <c r="I829" s="31">
        <v>0</v>
      </c>
      <c r="J829" s="47" t="s">
        <v>987</v>
      </c>
      <c r="K829" s="32">
        <v>0</v>
      </c>
      <c r="L829" s="32">
        <v>1</v>
      </c>
      <c r="M829" s="31">
        <v>-0.50000000052480864</v>
      </c>
      <c r="N829" s="31">
        <v>0</v>
      </c>
      <c r="O829" s="31">
        <v>0</v>
      </c>
      <c r="P829" s="31">
        <v>0</v>
      </c>
      <c r="Q829" s="31">
        <v>0</v>
      </c>
      <c r="R829" s="31">
        <v>0</v>
      </c>
      <c r="S829" s="31">
        <v>0</v>
      </c>
      <c r="T829" s="31" t="s">
        <v>46</v>
      </c>
      <c r="U829" s="31" t="s">
        <v>46</v>
      </c>
    </row>
    <row r="830" spans="1:21" x14ac:dyDescent="0.2">
      <c r="A830" s="31">
        <v>1.3600816048962938</v>
      </c>
      <c r="B830" s="46" t="s">
        <v>988</v>
      </c>
      <c r="C830" s="32">
        <v>0</v>
      </c>
      <c r="D830" s="32">
        <v>1</v>
      </c>
      <c r="E830" s="31">
        <v>0.50000000052480864</v>
      </c>
      <c r="F830" s="31">
        <v>0</v>
      </c>
      <c r="G830" s="31">
        <v>0</v>
      </c>
      <c r="H830" s="31">
        <v>0</v>
      </c>
      <c r="I830" s="31">
        <v>0</v>
      </c>
      <c r="J830" s="47" t="s">
        <v>989</v>
      </c>
      <c r="K830" s="32">
        <v>0</v>
      </c>
      <c r="L830" s="32">
        <v>1</v>
      </c>
      <c r="M830" s="31">
        <v>-0.50000000052480864</v>
      </c>
      <c r="N830" s="31">
        <v>0</v>
      </c>
      <c r="O830" s="31">
        <v>0</v>
      </c>
      <c r="P830" s="31">
        <v>0</v>
      </c>
      <c r="Q830" s="31">
        <v>0</v>
      </c>
      <c r="R830" s="31">
        <v>0</v>
      </c>
      <c r="S830" s="31">
        <v>0</v>
      </c>
      <c r="T830" s="31" t="s">
        <v>46</v>
      </c>
      <c r="U830" s="31" t="s">
        <v>46</v>
      </c>
    </row>
    <row r="831" spans="1:21" x14ac:dyDescent="0.2">
      <c r="A831" s="31">
        <v>1.3884166383316332</v>
      </c>
      <c r="B831" s="46" t="s">
        <v>990</v>
      </c>
      <c r="C831" s="32">
        <v>0</v>
      </c>
      <c r="D831" s="32">
        <v>1</v>
      </c>
      <c r="E831" s="31">
        <v>0.50000000052480864</v>
      </c>
      <c r="F831" s="31">
        <v>0</v>
      </c>
      <c r="G831" s="31">
        <v>0</v>
      </c>
      <c r="H831" s="31">
        <v>0</v>
      </c>
      <c r="I831" s="31">
        <v>0</v>
      </c>
      <c r="J831" s="47" t="s">
        <v>991</v>
      </c>
      <c r="K831" s="32">
        <v>0</v>
      </c>
      <c r="L831" s="32">
        <v>1</v>
      </c>
      <c r="M831" s="31">
        <v>-0.50000000052480864</v>
      </c>
      <c r="N831" s="31">
        <v>0</v>
      </c>
      <c r="O831" s="31">
        <v>0</v>
      </c>
      <c r="P831" s="31">
        <v>0</v>
      </c>
      <c r="Q831" s="31">
        <v>0</v>
      </c>
      <c r="R831" s="31">
        <v>0</v>
      </c>
      <c r="S831" s="31">
        <v>0</v>
      </c>
      <c r="T831" s="31" t="s">
        <v>46</v>
      </c>
      <c r="U831" s="31" t="s">
        <v>46</v>
      </c>
    </row>
    <row r="832" spans="1:21" x14ac:dyDescent="0.2">
      <c r="A832" s="31">
        <v>1.4167516717669726</v>
      </c>
      <c r="B832" s="46" t="s">
        <v>992</v>
      </c>
      <c r="C832" s="32">
        <v>0</v>
      </c>
      <c r="D832" s="32">
        <v>1</v>
      </c>
      <c r="E832" s="31">
        <v>0.50000000052480864</v>
      </c>
      <c r="F832" s="31">
        <v>0</v>
      </c>
      <c r="G832" s="31">
        <v>0</v>
      </c>
      <c r="H832" s="31">
        <v>0</v>
      </c>
      <c r="I832" s="31">
        <v>0</v>
      </c>
      <c r="J832" s="47" t="s">
        <v>993</v>
      </c>
      <c r="K832" s="32">
        <v>0</v>
      </c>
      <c r="L832" s="32">
        <v>1</v>
      </c>
      <c r="M832" s="31">
        <v>-0.50000000052480864</v>
      </c>
      <c r="N832" s="31">
        <v>0</v>
      </c>
      <c r="O832" s="31">
        <v>0</v>
      </c>
      <c r="P832" s="31">
        <v>0</v>
      </c>
      <c r="Q832" s="31">
        <v>0</v>
      </c>
      <c r="R832" s="31">
        <v>0</v>
      </c>
      <c r="S832" s="31">
        <v>0</v>
      </c>
      <c r="T832" s="31" t="s">
        <v>46</v>
      </c>
      <c r="U832" s="31" t="s">
        <v>46</v>
      </c>
    </row>
    <row r="833" spans="1:21" x14ac:dyDescent="0.2">
      <c r="A833" s="31">
        <v>1.445086705202312</v>
      </c>
      <c r="B833" s="46" t="s">
        <v>994</v>
      </c>
      <c r="C833" s="32">
        <v>0</v>
      </c>
      <c r="D833" s="32">
        <v>1</v>
      </c>
      <c r="E833" s="31">
        <v>0.50000000052480864</v>
      </c>
      <c r="F833" s="31">
        <v>0</v>
      </c>
      <c r="G833" s="31">
        <v>0</v>
      </c>
      <c r="H833" s="31">
        <v>0</v>
      </c>
      <c r="I833" s="31">
        <v>0</v>
      </c>
      <c r="J833" s="47" t="s">
        <v>995</v>
      </c>
      <c r="K833" s="32">
        <v>0</v>
      </c>
      <c r="L833" s="32">
        <v>1</v>
      </c>
      <c r="M833" s="31">
        <v>-0.50000000052480864</v>
      </c>
      <c r="N833" s="31">
        <v>0</v>
      </c>
      <c r="O833" s="31">
        <v>0</v>
      </c>
      <c r="P833" s="31">
        <v>0</v>
      </c>
      <c r="Q833" s="31">
        <v>0</v>
      </c>
      <c r="R833" s="31">
        <v>0</v>
      </c>
      <c r="S833" s="31">
        <v>0</v>
      </c>
      <c r="T833" s="31" t="s">
        <v>46</v>
      </c>
      <c r="U833" s="31" t="s">
        <v>46</v>
      </c>
    </row>
    <row r="834" spans="1:21" x14ac:dyDescent="0.2">
      <c r="A834" s="31">
        <v>1.4734217386376516</v>
      </c>
      <c r="B834" s="46" t="s">
        <v>996</v>
      </c>
      <c r="C834" s="32">
        <v>3.0000499999999999</v>
      </c>
      <c r="D834" s="32">
        <v>1</v>
      </c>
      <c r="E834" s="31">
        <v>0.50000000052480864</v>
      </c>
      <c r="F834" s="31">
        <v>0</v>
      </c>
      <c r="G834" s="31">
        <v>0</v>
      </c>
      <c r="H834" s="31">
        <v>0</v>
      </c>
      <c r="I834" s="31">
        <v>0</v>
      </c>
      <c r="J834" s="47" t="s">
        <v>997</v>
      </c>
      <c r="K834" s="32">
        <v>0</v>
      </c>
      <c r="L834" s="32">
        <v>1</v>
      </c>
      <c r="M834" s="31">
        <v>-0.50000000052480864</v>
      </c>
      <c r="N834" s="31">
        <v>0</v>
      </c>
      <c r="O834" s="31">
        <v>0</v>
      </c>
      <c r="P834" s="31">
        <v>0</v>
      </c>
      <c r="Q834" s="31">
        <v>0</v>
      </c>
      <c r="R834" s="31">
        <v>0</v>
      </c>
      <c r="S834" s="31">
        <v>0</v>
      </c>
      <c r="T834" s="31" t="s">
        <v>46</v>
      </c>
      <c r="U834" s="31" t="s">
        <v>46</v>
      </c>
    </row>
    <row r="835" spans="1:21" x14ac:dyDescent="0.2">
      <c r="A835" s="31">
        <v>1.501756772072991</v>
      </c>
      <c r="B835" s="46" t="s">
        <v>998</v>
      </c>
      <c r="C835" s="32">
        <v>3.0000499999999999</v>
      </c>
      <c r="D835" s="32">
        <v>1</v>
      </c>
      <c r="E835" s="31">
        <v>0.50000000052480864</v>
      </c>
      <c r="F835" s="31">
        <v>0</v>
      </c>
      <c r="G835" s="31">
        <v>0</v>
      </c>
      <c r="H835" s="31">
        <v>0</v>
      </c>
      <c r="I835" s="31">
        <v>0</v>
      </c>
      <c r="J835" s="47" t="s">
        <v>999</v>
      </c>
      <c r="K835" s="32">
        <v>0</v>
      </c>
      <c r="L835" s="32">
        <v>1</v>
      </c>
      <c r="M835" s="31">
        <v>-0.50000000052480864</v>
      </c>
      <c r="N835" s="31">
        <v>0</v>
      </c>
      <c r="O835" s="31">
        <v>0</v>
      </c>
      <c r="P835" s="31">
        <v>0</v>
      </c>
      <c r="Q835" s="31">
        <v>0</v>
      </c>
      <c r="R835" s="31">
        <v>0</v>
      </c>
      <c r="S835" s="31">
        <v>0</v>
      </c>
      <c r="T835" s="31" t="s">
        <v>46</v>
      </c>
      <c r="U835" s="31" t="s">
        <v>46</v>
      </c>
    </row>
    <row r="836" spans="1:21" x14ac:dyDescent="0.2">
      <c r="A836" s="31">
        <v>1.5300918055083303</v>
      </c>
      <c r="B836" s="46" t="s">
        <v>1000</v>
      </c>
      <c r="C836" s="32">
        <v>3.0000499999999999</v>
      </c>
      <c r="D836" s="32">
        <v>1</v>
      </c>
      <c r="E836" s="31">
        <v>0.50000000052480864</v>
      </c>
      <c r="F836" s="31">
        <v>0</v>
      </c>
      <c r="G836" s="31">
        <v>0</v>
      </c>
      <c r="H836" s="31">
        <v>0</v>
      </c>
      <c r="I836" s="31">
        <v>0</v>
      </c>
      <c r="J836" s="47" t="s">
        <v>1001</v>
      </c>
      <c r="K836" s="32">
        <v>0</v>
      </c>
      <c r="L836" s="32">
        <v>1</v>
      </c>
      <c r="M836" s="31">
        <v>-0.50000000052480864</v>
      </c>
      <c r="N836" s="31">
        <v>0</v>
      </c>
      <c r="O836" s="31">
        <v>0</v>
      </c>
      <c r="P836" s="31">
        <v>0</v>
      </c>
      <c r="Q836" s="31">
        <v>0</v>
      </c>
      <c r="R836" s="31">
        <v>0</v>
      </c>
      <c r="S836" s="31">
        <v>0</v>
      </c>
      <c r="T836" s="31" t="s">
        <v>46</v>
      </c>
      <c r="U836" s="31" t="s">
        <v>46</v>
      </c>
    </row>
    <row r="837" spans="1:21" x14ac:dyDescent="0.2">
      <c r="A837" s="31">
        <v>1.55842683894367</v>
      </c>
      <c r="B837" s="46" t="s">
        <v>1002</v>
      </c>
      <c r="C837" s="32">
        <v>0</v>
      </c>
      <c r="D837" s="32">
        <v>1</v>
      </c>
      <c r="E837" s="31">
        <v>0.50000000052480864</v>
      </c>
      <c r="F837" s="31">
        <v>0</v>
      </c>
      <c r="G837" s="31">
        <v>0</v>
      </c>
      <c r="H837" s="31">
        <v>0</v>
      </c>
      <c r="I837" s="31">
        <v>0</v>
      </c>
      <c r="J837" s="47" t="s">
        <v>1003</v>
      </c>
      <c r="K837" s="32">
        <v>0</v>
      </c>
      <c r="L837" s="32">
        <v>1</v>
      </c>
      <c r="M837" s="31">
        <v>-0.50000000052480864</v>
      </c>
      <c r="N837" s="31">
        <v>0</v>
      </c>
      <c r="O837" s="31">
        <v>0</v>
      </c>
      <c r="P837" s="31">
        <v>0</v>
      </c>
      <c r="Q837" s="31">
        <v>0</v>
      </c>
      <c r="R837" s="31">
        <v>0</v>
      </c>
      <c r="S837" s="31">
        <v>0</v>
      </c>
      <c r="T837" s="31" t="s">
        <v>46</v>
      </c>
      <c r="U837" s="31" t="s">
        <v>46</v>
      </c>
    </row>
    <row r="838" spans="1:21" x14ac:dyDescent="0.2">
      <c r="A838" s="31">
        <v>1.5867618723790093</v>
      </c>
      <c r="B838" s="46" t="s">
        <v>1004</v>
      </c>
      <c r="C838" s="32">
        <v>0</v>
      </c>
      <c r="D838" s="32">
        <v>1</v>
      </c>
      <c r="E838" s="31">
        <v>0.50000000052480864</v>
      </c>
      <c r="F838" s="31">
        <v>0</v>
      </c>
      <c r="G838" s="31">
        <v>0</v>
      </c>
      <c r="H838" s="31">
        <v>0</v>
      </c>
      <c r="I838" s="31">
        <v>0</v>
      </c>
      <c r="J838" s="47" t="s">
        <v>1005</v>
      </c>
      <c r="K838" s="32">
        <v>0</v>
      </c>
      <c r="L838" s="32">
        <v>1</v>
      </c>
      <c r="M838" s="31">
        <v>-0.50000000052480864</v>
      </c>
      <c r="N838" s="31">
        <v>0</v>
      </c>
      <c r="O838" s="31">
        <v>0</v>
      </c>
      <c r="P838" s="31">
        <v>0</v>
      </c>
      <c r="Q838" s="31">
        <v>0</v>
      </c>
      <c r="R838" s="31">
        <v>0</v>
      </c>
      <c r="S838" s="31">
        <v>0</v>
      </c>
      <c r="T838" s="31" t="s">
        <v>46</v>
      </c>
      <c r="U838" s="31" t="s">
        <v>46</v>
      </c>
    </row>
    <row r="839" spans="1:21" x14ac:dyDescent="0.2">
      <c r="A839" s="31">
        <v>1.6150969058143487</v>
      </c>
      <c r="B839" s="46" t="s">
        <v>1006</v>
      </c>
      <c r="C839" s="32">
        <v>3.0000499999999999</v>
      </c>
      <c r="D839" s="32">
        <v>1</v>
      </c>
      <c r="E839" s="31">
        <v>0.50000000052480864</v>
      </c>
      <c r="F839" s="31">
        <v>0</v>
      </c>
      <c r="G839" s="31">
        <v>0</v>
      </c>
      <c r="H839" s="31">
        <v>0</v>
      </c>
      <c r="I839" s="31">
        <v>0</v>
      </c>
      <c r="J839" s="47" t="s">
        <v>1007</v>
      </c>
      <c r="K839" s="32">
        <v>0</v>
      </c>
      <c r="L839" s="32">
        <v>1</v>
      </c>
      <c r="M839" s="31">
        <v>-0.50000000052480864</v>
      </c>
      <c r="N839" s="31">
        <v>0</v>
      </c>
      <c r="O839" s="31">
        <v>0</v>
      </c>
      <c r="P839" s="31">
        <v>0</v>
      </c>
      <c r="Q839" s="31">
        <v>0</v>
      </c>
      <c r="R839" s="31">
        <v>0</v>
      </c>
      <c r="S839" s="31">
        <v>0</v>
      </c>
      <c r="T839" s="31" t="s">
        <v>46</v>
      </c>
      <c r="U839" s="31" t="s">
        <v>46</v>
      </c>
    </row>
    <row r="840" spans="1:21" x14ac:dyDescent="0.2">
      <c r="A840" s="31">
        <v>0.48169556840077071</v>
      </c>
      <c r="B840" s="46" t="s">
        <v>1008</v>
      </c>
      <c r="C840" s="32">
        <v>0</v>
      </c>
      <c r="D840" s="32">
        <v>1</v>
      </c>
      <c r="E840" s="31">
        <v>0.50000000052480864</v>
      </c>
      <c r="F840" s="31">
        <v>0</v>
      </c>
      <c r="G840" s="31">
        <v>0</v>
      </c>
      <c r="H840" s="31">
        <v>0</v>
      </c>
      <c r="I840" s="31">
        <v>0</v>
      </c>
      <c r="J840" s="47" t="s">
        <v>1009</v>
      </c>
      <c r="K840" s="32">
        <v>0</v>
      </c>
      <c r="L840" s="32">
        <v>1</v>
      </c>
      <c r="M840" s="31">
        <v>-0.50000000052480864</v>
      </c>
      <c r="N840" s="31">
        <v>0</v>
      </c>
      <c r="O840" s="31">
        <v>0</v>
      </c>
      <c r="P840" s="31">
        <v>0</v>
      </c>
      <c r="Q840" s="31">
        <v>0</v>
      </c>
      <c r="R840" s="31">
        <v>0</v>
      </c>
      <c r="S840" s="31">
        <v>0</v>
      </c>
      <c r="T840" s="31" t="s">
        <v>46</v>
      </c>
      <c r="U840" s="31" t="s">
        <v>46</v>
      </c>
    </row>
    <row r="841" spans="1:21" x14ac:dyDescent="0.2">
      <c r="A841" s="31">
        <v>0.49586308511844041</v>
      </c>
      <c r="B841" s="46" t="s">
        <v>1010</v>
      </c>
      <c r="C841" s="32">
        <v>0</v>
      </c>
      <c r="D841" s="32">
        <v>1</v>
      </c>
      <c r="E841" s="31">
        <v>0.50000000052480864</v>
      </c>
      <c r="F841" s="31">
        <v>0</v>
      </c>
      <c r="G841" s="31">
        <v>0</v>
      </c>
      <c r="H841" s="31">
        <v>0</v>
      </c>
      <c r="I841" s="31">
        <v>0</v>
      </c>
      <c r="J841" s="47" t="s">
        <v>1011</v>
      </c>
      <c r="K841" s="32">
        <v>0</v>
      </c>
      <c r="L841" s="32">
        <v>1</v>
      </c>
      <c r="M841" s="31">
        <v>-0.50000000052480864</v>
      </c>
      <c r="N841" s="31">
        <v>0</v>
      </c>
      <c r="O841" s="31">
        <v>0</v>
      </c>
      <c r="P841" s="31">
        <v>0</v>
      </c>
      <c r="Q841" s="31">
        <v>0</v>
      </c>
      <c r="R841" s="31">
        <v>0</v>
      </c>
      <c r="S841" s="31">
        <v>0</v>
      </c>
      <c r="T841" s="31" t="s">
        <v>46</v>
      </c>
      <c r="U841" s="31" t="s">
        <v>46</v>
      </c>
    </row>
    <row r="842" spans="1:21" x14ac:dyDescent="0.2">
      <c r="A842" s="31">
        <v>0.51003060183611015</v>
      </c>
      <c r="B842" s="46" t="s">
        <v>1012</v>
      </c>
      <c r="C842" s="32">
        <v>0</v>
      </c>
      <c r="D842" s="32">
        <v>1</v>
      </c>
      <c r="E842" s="31">
        <v>0.50000000052480864</v>
      </c>
      <c r="F842" s="31">
        <v>0</v>
      </c>
      <c r="G842" s="31">
        <v>0</v>
      </c>
      <c r="H842" s="31">
        <v>0</v>
      </c>
      <c r="I842" s="31">
        <v>0</v>
      </c>
      <c r="J842" s="47" t="s">
        <v>1013</v>
      </c>
      <c r="K842" s="32">
        <v>0</v>
      </c>
      <c r="L842" s="32">
        <v>1</v>
      </c>
      <c r="M842" s="31">
        <v>-0.50000000052480864</v>
      </c>
      <c r="N842" s="31">
        <v>0</v>
      </c>
      <c r="O842" s="31">
        <v>0</v>
      </c>
      <c r="P842" s="31">
        <v>0</v>
      </c>
      <c r="Q842" s="31">
        <v>0</v>
      </c>
      <c r="R842" s="31">
        <v>0</v>
      </c>
      <c r="S842" s="31">
        <v>0</v>
      </c>
      <c r="T842" s="31" t="s">
        <v>46</v>
      </c>
      <c r="U842" s="31" t="s">
        <v>46</v>
      </c>
    </row>
    <row r="843" spans="1:21" x14ac:dyDescent="0.2">
      <c r="A843" s="31">
        <v>0.52419811855377985</v>
      </c>
      <c r="B843" s="46" t="s">
        <v>1014</v>
      </c>
      <c r="C843" s="32">
        <v>0</v>
      </c>
      <c r="D843" s="32">
        <v>1</v>
      </c>
      <c r="E843" s="31">
        <v>0.50000000052480864</v>
      </c>
      <c r="F843" s="31">
        <v>0</v>
      </c>
      <c r="G843" s="31">
        <v>0</v>
      </c>
      <c r="H843" s="31">
        <v>0</v>
      </c>
      <c r="I843" s="31">
        <v>0</v>
      </c>
      <c r="J843" s="47" t="s">
        <v>1015</v>
      </c>
      <c r="K843" s="32">
        <v>0</v>
      </c>
      <c r="L843" s="32">
        <v>1</v>
      </c>
      <c r="M843" s="31">
        <v>-0.50000000052480864</v>
      </c>
      <c r="N843" s="31">
        <v>0</v>
      </c>
      <c r="O843" s="31">
        <v>0</v>
      </c>
      <c r="P843" s="31">
        <v>0</v>
      </c>
      <c r="Q843" s="31">
        <v>0</v>
      </c>
      <c r="R843" s="31">
        <v>0</v>
      </c>
      <c r="S843" s="31">
        <v>0</v>
      </c>
      <c r="T843" s="31" t="s">
        <v>46</v>
      </c>
      <c r="U843" s="31" t="s">
        <v>46</v>
      </c>
    </row>
    <row r="844" spans="1:21" x14ac:dyDescent="0.2">
      <c r="A844" s="31">
        <v>0.53836563527144965</v>
      </c>
      <c r="B844" s="46" t="s">
        <v>1016</v>
      </c>
      <c r="C844" s="32">
        <v>0</v>
      </c>
      <c r="D844" s="32">
        <v>1</v>
      </c>
      <c r="E844" s="31">
        <v>0.50000000052480864</v>
      </c>
      <c r="F844" s="31">
        <v>0</v>
      </c>
      <c r="G844" s="31">
        <v>0</v>
      </c>
      <c r="H844" s="31">
        <v>0</v>
      </c>
      <c r="I844" s="31">
        <v>0</v>
      </c>
      <c r="J844" s="47" t="s">
        <v>1017</v>
      </c>
      <c r="K844" s="32">
        <v>0</v>
      </c>
      <c r="L844" s="32">
        <v>1</v>
      </c>
      <c r="M844" s="31">
        <v>-0.50000000052480864</v>
      </c>
      <c r="N844" s="31">
        <v>0</v>
      </c>
      <c r="O844" s="31">
        <v>0</v>
      </c>
      <c r="P844" s="31">
        <v>0</v>
      </c>
      <c r="Q844" s="31">
        <v>0</v>
      </c>
      <c r="R844" s="31">
        <v>0</v>
      </c>
      <c r="S844" s="31">
        <v>0</v>
      </c>
      <c r="T844" s="31" t="s">
        <v>46</v>
      </c>
      <c r="U844" s="31" t="s">
        <v>46</v>
      </c>
    </row>
    <row r="845" spans="1:21" x14ac:dyDescent="0.2">
      <c r="A845" s="31">
        <v>0.55253315198911934</v>
      </c>
      <c r="B845" s="46" t="s">
        <v>1018</v>
      </c>
      <c r="C845" s="32">
        <v>0</v>
      </c>
      <c r="D845" s="32">
        <v>1</v>
      </c>
      <c r="E845" s="31">
        <v>0.50000000052480864</v>
      </c>
      <c r="F845" s="31">
        <v>0</v>
      </c>
      <c r="G845" s="31">
        <v>0</v>
      </c>
      <c r="H845" s="31">
        <v>0</v>
      </c>
      <c r="I845" s="31">
        <v>0</v>
      </c>
      <c r="J845" s="47" t="s">
        <v>1019</v>
      </c>
      <c r="K845" s="32">
        <v>0</v>
      </c>
      <c r="L845" s="32">
        <v>1</v>
      </c>
      <c r="M845" s="31">
        <v>-0.50000000052480864</v>
      </c>
      <c r="N845" s="31">
        <v>0</v>
      </c>
      <c r="O845" s="31">
        <v>0</v>
      </c>
      <c r="P845" s="31">
        <v>0</v>
      </c>
      <c r="Q845" s="31">
        <v>0</v>
      </c>
      <c r="R845" s="31">
        <v>0</v>
      </c>
      <c r="S845" s="31">
        <v>0</v>
      </c>
      <c r="T845" s="31" t="s">
        <v>46</v>
      </c>
      <c r="U845" s="31" t="s">
        <v>46</v>
      </c>
    </row>
    <row r="846" spans="1:21" x14ac:dyDescent="0.2">
      <c r="A846" s="31">
        <v>0.56670066870678903</v>
      </c>
      <c r="B846" s="46" t="s">
        <v>1020</v>
      </c>
      <c r="C846" s="32">
        <v>0</v>
      </c>
      <c r="D846" s="32">
        <v>1</v>
      </c>
      <c r="E846" s="31">
        <v>0.50000000052480864</v>
      </c>
      <c r="F846" s="31">
        <v>0</v>
      </c>
      <c r="G846" s="31">
        <v>0</v>
      </c>
      <c r="H846" s="31">
        <v>0</v>
      </c>
      <c r="I846" s="31">
        <v>0</v>
      </c>
      <c r="J846" s="47" t="s">
        <v>1021</v>
      </c>
      <c r="K846" s="32">
        <v>0</v>
      </c>
      <c r="L846" s="32">
        <v>1</v>
      </c>
      <c r="M846" s="31">
        <v>-0.50000000052480864</v>
      </c>
      <c r="N846" s="31">
        <v>0</v>
      </c>
      <c r="O846" s="31">
        <v>0</v>
      </c>
      <c r="P846" s="31">
        <v>0</v>
      </c>
      <c r="Q846" s="31">
        <v>0</v>
      </c>
      <c r="R846" s="31">
        <v>0</v>
      </c>
      <c r="S846" s="31">
        <v>0</v>
      </c>
      <c r="T846" s="31" t="s">
        <v>46</v>
      </c>
      <c r="U846" s="31" t="s">
        <v>46</v>
      </c>
    </row>
    <row r="847" spans="1:21" x14ac:dyDescent="0.2">
      <c r="A847" s="31">
        <v>0.58086818542445873</v>
      </c>
      <c r="B847" s="46" t="s">
        <v>1022</v>
      </c>
      <c r="C847" s="32">
        <v>0</v>
      </c>
      <c r="D847" s="32">
        <v>1</v>
      </c>
      <c r="E847" s="31">
        <v>0.50000000052480864</v>
      </c>
      <c r="F847" s="31">
        <v>0</v>
      </c>
      <c r="G847" s="31">
        <v>0</v>
      </c>
      <c r="H847" s="31">
        <v>0</v>
      </c>
      <c r="I847" s="31">
        <v>0</v>
      </c>
      <c r="J847" s="47" t="s">
        <v>1023</v>
      </c>
      <c r="K847" s="32">
        <v>0</v>
      </c>
      <c r="L847" s="32">
        <v>1</v>
      </c>
      <c r="M847" s="31">
        <v>-0.50000000052480864</v>
      </c>
      <c r="N847" s="31">
        <v>0</v>
      </c>
      <c r="O847" s="31">
        <v>0</v>
      </c>
      <c r="P847" s="31">
        <v>0</v>
      </c>
      <c r="Q847" s="31">
        <v>0</v>
      </c>
      <c r="R847" s="31">
        <v>0</v>
      </c>
      <c r="S847" s="31">
        <v>0</v>
      </c>
      <c r="T847" s="31" t="s">
        <v>46</v>
      </c>
      <c r="U847" s="31" t="s">
        <v>46</v>
      </c>
    </row>
    <row r="848" spans="1:21" x14ac:dyDescent="0.2">
      <c r="A848" s="31">
        <v>0.59503570214212853</v>
      </c>
      <c r="B848" s="46" t="s">
        <v>1024</v>
      </c>
      <c r="C848" s="32">
        <v>0</v>
      </c>
      <c r="D848" s="32">
        <v>1</v>
      </c>
      <c r="E848" s="31">
        <v>0.50000000052480864</v>
      </c>
      <c r="F848" s="31">
        <v>0</v>
      </c>
      <c r="G848" s="31">
        <v>0</v>
      </c>
      <c r="H848" s="31">
        <v>0</v>
      </c>
      <c r="I848" s="31">
        <v>0</v>
      </c>
      <c r="J848" s="47" t="s">
        <v>1025</v>
      </c>
      <c r="K848" s="32">
        <v>0</v>
      </c>
      <c r="L848" s="32">
        <v>1</v>
      </c>
      <c r="M848" s="31">
        <v>-0.50000000052480864</v>
      </c>
      <c r="N848" s="31">
        <v>0</v>
      </c>
      <c r="O848" s="31">
        <v>0</v>
      </c>
      <c r="P848" s="31">
        <v>0</v>
      </c>
      <c r="Q848" s="31">
        <v>0</v>
      </c>
      <c r="R848" s="31">
        <v>0</v>
      </c>
      <c r="S848" s="31">
        <v>0</v>
      </c>
      <c r="T848" s="31" t="s">
        <v>46</v>
      </c>
      <c r="U848" s="31" t="s">
        <v>46</v>
      </c>
    </row>
    <row r="849" spans="1:21" x14ac:dyDescent="0.2">
      <c r="A849" s="31">
        <v>0.60920321885979822</v>
      </c>
      <c r="B849" s="46" t="s">
        <v>1026</v>
      </c>
      <c r="C849" s="32">
        <v>0</v>
      </c>
      <c r="D849" s="32">
        <v>1</v>
      </c>
      <c r="E849" s="31">
        <v>0.50000000052480864</v>
      </c>
      <c r="F849" s="31">
        <v>0</v>
      </c>
      <c r="G849" s="31">
        <v>0</v>
      </c>
      <c r="H849" s="31">
        <v>0</v>
      </c>
      <c r="I849" s="31">
        <v>0</v>
      </c>
      <c r="J849" s="47" t="s">
        <v>1027</v>
      </c>
      <c r="K849" s="32">
        <v>0</v>
      </c>
      <c r="L849" s="32">
        <v>1</v>
      </c>
      <c r="M849" s="31">
        <v>-0.50000000052480864</v>
      </c>
      <c r="N849" s="31">
        <v>0</v>
      </c>
      <c r="O849" s="31">
        <v>0</v>
      </c>
      <c r="P849" s="31">
        <v>0</v>
      </c>
      <c r="Q849" s="31">
        <v>0</v>
      </c>
      <c r="R849" s="31">
        <v>0</v>
      </c>
      <c r="S849" s="31">
        <v>0</v>
      </c>
      <c r="T849" s="31" t="s">
        <v>46</v>
      </c>
      <c r="U849" s="31" t="s">
        <v>46</v>
      </c>
    </row>
    <row r="850" spans="1:21" x14ac:dyDescent="0.2">
      <c r="A850" s="31">
        <v>0.62337073557746792</v>
      </c>
      <c r="B850" s="46" t="s">
        <v>1028</v>
      </c>
      <c r="C850" s="32">
        <v>0</v>
      </c>
      <c r="D850" s="32">
        <v>1</v>
      </c>
      <c r="E850" s="31">
        <v>0.50000000052480864</v>
      </c>
      <c r="F850" s="31">
        <v>0</v>
      </c>
      <c r="G850" s="31">
        <v>0</v>
      </c>
      <c r="H850" s="31">
        <v>0</v>
      </c>
      <c r="I850" s="31">
        <v>0</v>
      </c>
      <c r="J850" s="47" t="s">
        <v>1029</v>
      </c>
      <c r="K850" s="32">
        <v>0</v>
      </c>
      <c r="L850" s="32">
        <v>1</v>
      </c>
      <c r="M850" s="31">
        <v>-0.50000000052480864</v>
      </c>
      <c r="N850" s="31">
        <v>0</v>
      </c>
      <c r="O850" s="31">
        <v>0</v>
      </c>
      <c r="P850" s="31">
        <v>0</v>
      </c>
      <c r="Q850" s="31">
        <v>0</v>
      </c>
      <c r="R850" s="31">
        <v>0</v>
      </c>
      <c r="S850" s="31">
        <v>0</v>
      </c>
      <c r="T850" s="31" t="s">
        <v>46</v>
      </c>
      <c r="U850" s="31" t="s">
        <v>46</v>
      </c>
    </row>
    <row r="851" spans="1:21" x14ac:dyDescent="0.2">
      <c r="A851" s="31">
        <v>0.63753825229513772</v>
      </c>
      <c r="B851" s="46" t="s">
        <v>1030</v>
      </c>
      <c r="C851" s="32">
        <v>0</v>
      </c>
      <c r="D851" s="32">
        <v>1</v>
      </c>
      <c r="E851" s="31">
        <v>0.50000000052480864</v>
      </c>
      <c r="F851" s="31">
        <v>0</v>
      </c>
      <c r="G851" s="31">
        <v>0</v>
      </c>
      <c r="H851" s="31">
        <v>0</v>
      </c>
      <c r="I851" s="31">
        <v>0</v>
      </c>
      <c r="J851" s="47" t="s">
        <v>1031</v>
      </c>
      <c r="K851" s="32">
        <v>0</v>
      </c>
      <c r="L851" s="32">
        <v>1</v>
      </c>
      <c r="M851" s="31">
        <v>-0.50000000052480864</v>
      </c>
      <c r="N851" s="31">
        <v>0</v>
      </c>
      <c r="O851" s="31">
        <v>0</v>
      </c>
      <c r="P851" s="31">
        <v>0</v>
      </c>
      <c r="Q851" s="31">
        <v>0</v>
      </c>
      <c r="R851" s="31">
        <v>0</v>
      </c>
      <c r="S851" s="31">
        <v>0</v>
      </c>
      <c r="T851" s="31" t="s">
        <v>46</v>
      </c>
      <c r="U851" s="31" t="s">
        <v>46</v>
      </c>
    </row>
    <row r="852" spans="1:21" x14ac:dyDescent="0.2">
      <c r="A852" s="31">
        <v>0.65170576901280741</v>
      </c>
      <c r="B852" s="46" t="s">
        <v>1032</v>
      </c>
      <c r="C852" s="32">
        <v>0</v>
      </c>
      <c r="D852" s="32">
        <v>1</v>
      </c>
      <c r="E852" s="31">
        <v>0.50000000052480864</v>
      </c>
      <c r="F852" s="31">
        <v>0</v>
      </c>
      <c r="G852" s="31">
        <v>0</v>
      </c>
      <c r="H852" s="31">
        <v>0</v>
      </c>
      <c r="I852" s="31">
        <v>0</v>
      </c>
      <c r="J852" s="47" t="s">
        <v>1033</v>
      </c>
      <c r="K852" s="32">
        <v>0</v>
      </c>
      <c r="L852" s="32">
        <v>1</v>
      </c>
      <c r="M852" s="31">
        <v>-0.50000000052480864</v>
      </c>
      <c r="N852" s="31">
        <v>0</v>
      </c>
      <c r="O852" s="31">
        <v>0</v>
      </c>
      <c r="P852" s="31">
        <v>0</v>
      </c>
      <c r="Q852" s="31">
        <v>0</v>
      </c>
      <c r="R852" s="31">
        <v>0</v>
      </c>
      <c r="S852" s="31">
        <v>0</v>
      </c>
      <c r="T852" s="31" t="s">
        <v>46</v>
      </c>
      <c r="U852" s="31" t="s">
        <v>46</v>
      </c>
    </row>
    <row r="853" spans="1:21" x14ac:dyDescent="0.2">
      <c r="A853" s="31">
        <v>0.6658732857304771</v>
      </c>
      <c r="B853" s="46" t="s">
        <v>1034</v>
      </c>
      <c r="C853" s="32">
        <v>0</v>
      </c>
      <c r="D853" s="32">
        <v>1</v>
      </c>
      <c r="E853" s="31">
        <v>0.50000000052480864</v>
      </c>
      <c r="F853" s="31">
        <v>0</v>
      </c>
      <c r="G853" s="31">
        <v>0</v>
      </c>
      <c r="H853" s="31">
        <v>0</v>
      </c>
      <c r="I853" s="31">
        <v>0</v>
      </c>
      <c r="J853" s="47" t="s">
        <v>1035</v>
      </c>
      <c r="K853" s="32">
        <v>0</v>
      </c>
      <c r="L853" s="32">
        <v>1</v>
      </c>
      <c r="M853" s="31">
        <v>-0.50000000052480864</v>
      </c>
      <c r="N853" s="31">
        <v>0</v>
      </c>
      <c r="O853" s="31">
        <v>0</v>
      </c>
      <c r="P853" s="31">
        <v>0</v>
      </c>
      <c r="Q853" s="31">
        <v>0</v>
      </c>
      <c r="R853" s="31">
        <v>0</v>
      </c>
      <c r="S853" s="31">
        <v>0</v>
      </c>
      <c r="T853" s="31" t="s">
        <v>46</v>
      </c>
      <c r="U853" s="31" t="s">
        <v>46</v>
      </c>
    </row>
    <row r="854" spans="1:21" x14ac:dyDescent="0.2">
      <c r="A854" s="31">
        <v>0.68004080244814691</v>
      </c>
      <c r="B854" s="46" t="s">
        <v>1036</v>
      </c>
      <c r="C854" s="32">
        <v>0</v>
      </c>
      <c r="D854" s="32">
        <v>1</v>
      </c>
      <c r="E854" s="31">
        <v>0.50000000052480864</v>
      </c>
      <c r="F854" s="31">
        <v>0</v>
      </c>
      <c r="G854" s="31">
        <v>0</v>
      </c>
      <c r="H854" s="31">
        <v>0</v>
      </c>
      <c r="I854" s="31">
        <v>0</v>
      </c>
      <c r="J854" s="47" t="s">
        <v>1037</v>
      </c>
      <c r="K854" s="32">
        <v>0</v>
      </c>
      <c r="L854" s="32">
        <v>1</v>
      </c>
      <c r="M854" s="31">
        <v>-0.50000000052480864</v>
      </c>
      <c r="N854" s="31">
        <v>0</v>
      </c>
      <c r="O854" s="31">
        <v>0</v>
      </c>
      <c r="P854" s="31">
        <v>0</v>
      </c>
      <c r="Q854" s="31">
        <v>0</v>
      </c>
      <c r="R854" s="31">
        <v>0</v>
      </c>
      <c r="S854" s="31">
        <v>0</v>
      </c>
      <c r="T854" s="31" t="s">
        <v>46</v>
      </c>
      <c r="U854" s="31" t="s">
        <v>46</v>
      </c>
    </row>
    <row r="855" spans="1:21" x14ac:dyDescent="0.2">
      <c r="A855" s="31">
        <v>0.6942083191658166</v>
      </c>
      <c r="B855" s="46" t="s">
        <v>1038</v>
      </c>
      <c r="C855" s="32">
        <v>0</v>
      </c>
      <c r="D855" s="32">
        <v>1</v>
      </c>
      <c r="E855" s="31">
        <v>0.50000000052480864</v>
      </c>
      <c r="F855" s="31">
        <v>0</v>
      </c>
      <c r="G855" s="31">
        <v>0</v>
      </c>
      <c r="H855" s="31">
        <v>0</v>
      </c>
      <c r="I855" s="31">
        <v>0</v>
      </c>
      <c r="J855" s="47" t="s">
        <v>1039</v>
      </c>
      <c r="K855" s="32">
        <v>0</v>
      </c>
      <c r="L855" s="32">
        <v>1</v>
      </c>
      <c r="M855" s="31">
        <v>-0.50000000052480864</v>
      </c>
      <c r="N855" s="31">
        <v>0</v>
      </c>
      <c r="O855" s="31">
        <v>0</v>
      </c>
      <c r="P855" s="31">
        <v>0</v>
      </c>
      <c r="Q855" s="31">
        <v>0</v>
      </c>
      <c r="R855" s="31">
        <v>0</v>
      </c>
      <c r="S855" s="31">
        <v>0</v>
      </c>
      <c r="T855" s="31" t="s">
        <v>46</v>
      </c>
      <c r="U855" s="31" t="s">
        <v>46</v>
      </c>
    </row>
    <row r="856" spans="1:21" x14ac:dyDescent="0.2">
      <c r="A856" s="31">
        <v>0.70837583588348629</v>
      </c>
      <c r="B856" s="46" t="s">
        <v>1040</v>
      </c>
      <c r="C856" s="32">
        <v>0</v>
      </c>
      <c r="D856" s="32">
        <v>1</v>
      </c>
      <c r="E856" s="31">
        <v>0.50000000052480864</v>
      </c>
      <c r="F856" s="31">
        <v>0</v>
      </c>
      <c r="G856" s="31">
        <v>0</v>
      </c>
      <c r="H856" s="31">
        <v>0</v>
      </c>
      <c r="I856" s="31">
        <v>0</v>
      </c>
      <c r="J856" s="47" t="s">
        <v>1041</v>
      </c>
      <c r="K856" s="32">
        <v>0</v>
      </c>
      <c r="L856" s="32">
        <v>1</v>
      </c>
      <c r="M856" s="31">
        <v>-0.50000000052480864</v>
      </c>
      <c r="N856" s="31">
        <v>0</v>
      </c>
      <c r="O856" s="31">
        <v>0</v>
      </c>
      <c r="P856" s="31">
        <v>0</v>
      </c>
      <c r="Q856" s="31">
        <v>0</v>
      </c>
      <c r="R856" s="31">
        <v>0</v>
      </c>
      <c r="S856" s="31">
        <v>0</v>
      </c>
      <c r="T856" s="31" t="s">
        <v>46</v>
      </c>
      <c r="U856" s="31" t="s">
        <v>46</v>
      </c>
    </row>
    <row r="857" spans="1:21" x14ac:dyDescent="0.2">
      <c r="A857" s="31">
        <v>0.73671086931882579</v>
      </c>
      <c r="B857" s="46" t="s">
        <v>1042</v>
      </c>
      <c r="C857" s="32">
        <v>0</v>
      </c>
      <c r="D857" s="32">
        <v>1</v>
      </c>
      <c r="E857" s="31">
        <v>0.50000000052480864</v>
      </c>
      <c r="F857" s="31">
        <v>0</v>
      </c>
      <c r="G857" s="31">
        <v>0</v>
      </c>
      <c r="H857" s="31">
        <v>0</v>
      </c>
      <c r="I857" s="31">
        <v>0</v>
      </c>
      <c r="J857" s="47" t="s">
        <v>1043</v>
      </c>
      <c r="K857" s="32">
        <v>0</v>
      </c>
      <c r="L857" s="32">
        <v>1</v>
      </c>
      <c r="M857" s="31">
        <v>-0.50000000052480864</v>
      </c>
      <c r="N857" s="31">
        <v>0</v>
      </c>
      <c r="O857" s="31">
        <v>0</v>
      </c>
      <c r="P857" s="31">
        <v>0</v>
      </c>
      <c r="Q857" s="31">
        <v>0</v>
      </c>
      <c r="R857" s="31">
        <v>0</v>
      </c>
      <c r="S857" s="31">
        <v>0</v>
      </c>
      <c r="T857" s="31" t="s">
        <v>46</v>
      </c>
      <c r="U857" s="31" t="s">
        <v>46</v>
      </c>
    </row>
    <row r="858" spans="1:21" x14ac:dyDescent="0.2">
      <c r="A858" s="31">
        <v>0.76504590275416517</v>
      </c>
      <c r="B858" s="46" t="s">
        <v>1044</v>
      </c>
      <c r="C858" s="32">
        <v>0</v>
      </c>
      <c r="D858" s="32">
        <v>1</v>
      </c>
      <c r="E858" s="31">
        <v>0.50000000052480864</v>
      </c>
      <c r="F858" s="31">
        <v>0</v>
      </c>
      <c r="G858" s="31">
        <v>0</v>
      </c>
      <c r="H858" s="31">
        <v>0</v>
      </c>
      <c r="I858" s="31">
        <v>0</v>
      </c>
      <c r="J858" s="47" t="s">
        <v>1045</v>
      </c>
      <c r="K858" s="32">
        <v>0</v>
      </c>
      <c r="L858" s="32">
        <v>1</v>
      </c>
      <c r="M858" s="31">
        <v>-0.50000000052480864</v>
      </c>
      <c r="N858" s="31">
        <v>0</v>
      </c>
      <c r="O858" s="31">
        <v>0</v>
      </c>
      <c r="P858" s="31">
        <v>0</v>
      </c>
      <c r="Q858" s="31">
        <v>0</v>
      </c>
      <c r="R858" s="31">
        <v>0</v>
      </c>
      <c r="S858" s="31">
        <v>0</v>
      </c>
      <c r="T858" s="31" t="s">
        <v>46</v>
      </c>
      <c r="U858" s="31" t="s">
        <v>46</v>
      </c>
    </row>
    <row r="859" spans="1:21" x14ac:dyDescent="0.2">
      <c r="A859" s="31">
        <v>0.77921341947183498</v>
      </c>
      <c r="B859" s="46" t="s">
        <v>1046</v>
      </c>
      <c r="C859" s="32">
        <v>0</v>
      </c>
      <c r="D859" s="32">
        <v>1</v>
      </c>
      <c r="E859" s="31">
        <v>0.50000000052480864</v>
      </c>
      <c r="F859" s="31">
        <v>0</v>
      </c>
      <c r="G859" s="31">
        <v>0</v>
      </c>
      <c r="H859" s="31">
        <v>0</v>
      </c>
      <c r="I859" s="31">
        <v>0</v>
      </c>
      <c r="J859" s="47" t="s">
        <v>1047</v>
      </c>
      <c r="K859" s="32">
        <v>0</v>
      </c>
      <c r="L859" s="32">
        <v>1</v>
      </c>
      <c r="M859" s="31">
        <v>-0.50000000052480864</v>
      </c>
      <c r="N859" s="31">
        <v>0</v>
      </c>
      <c r="O859" s="31">
        <v>0</v>
      </c>
      <c r="P859" s="31">
        <v>0</v>
      </c>
      <c r="Q859" s="31">
        <v>0</v>
      </c>
      <c r="R859" s="31">
        <v>0</v>
      </c>
      <c r="S859" s="31">
        <v>0</v>
      </c>
      <c r="T859" s="31" t="s">
        <v>46</v>
      </c>
      <c r="U859" s="31" t="s">
        <v>46</v>
      </c>
    </row>
    <row r="860" spans="1:21" x14ac:dyDescent="0.2">
      <c r="A860" s="31">
        <v>0.79338093618950467</v>
      </c>
      <c r="B860" s="46" t="s">
        <v>1048</v>
      </c>
      <c r="C860" s="32">
        <v>0</v>
      </c>
      <c r="D860" s="32">
        <v>1</v>
      </c>
      <c r="E860" s="31">
        <v>0.50000000052480864</v>
      </c>
      <c r="F860" s="31">
        <v>0</v>
      </c>
      <c r="G860" s="31">
        <v>0</v>
      </c>
      <c r="H860" s="31">
        <v>0</v>
      </c>
      <c r="I860" s="31">
        <v>0</v>
      </c>
      <c r="J860" s="47" t="s">
        <v>1049</v>
      </c>
      <c r="K860" s="32">
        <v>0</v>
      </c>
      <c r="L860" s="32">
        <v>1</v>
      </c>
      <c r="M860" s="31">
        <v>-0.50000000052480864</v>
      </c>
      <c r="N860" s="31">
        <v>0</v>
      </c>
      <c r="O860" s="31">
        <v>0</v>
      </c>
      <c r="P860" s="31">
        <v>0</v>
      </c>
      <c r="Q860" s="31">
        <v>0</v>
      </c>
      <c r="R860" s="31">
        <v>0</v>
      </c>
      <c r="S860" s="31">
        <v>0</v>
      </c>
      <c r="T860" s="31" t="s">
        <v>46</v>
      </c>
      <c r="U860" s="31" t="s">
        <v>46</v>
      </c>
    </row>
    <row r="861" spans="1:21" x14ac:dyDescent="0.2">
      <c r="A861" s="31">
        <v>0.82171596962484417</v>
      </c>
      <c r="B861" s="46" t="s">
        <v>1050</v>
      </c>
      <c r="C861" s="32">
        <v>0</v>
      </c>
      <c r="D861" s="32">
        <v>1</v>
      </c>
      <c r="E861" s="31">
        <v>0.50000000052480864</v>
      </c>
      <c r="F861" s="31">
        <v>0</v>
      </c>
      <c r="G861" s="31">
        <v>0</v>
      </c>
      <c r="H861" s="31">
        <v>0</v>
      </c>
      <c r="I861" s="31">
        <v>0</v>
      </c>
      <c r="J861" s="47" t="s">
        <v>1051</v>
      </c>
      <c r="K861" s="32">
        <v>0</v>
      </c>
      <c r="L861" s="32">
        <v>1</v>
      </c>
      <c r="M861" s="31">
        <v>-0.50000000052480864</v>
      </c>
      <c r="N861" s="31">
        <v>0</v>
      </c>
      <c r="O861" s="31">
        <v>0</v>
      </c>
      <c r="P861" s="31">
        <v>0</v>
      </c>
      <c r="Q861" s="31">
        <v>0</v>
      </c>
      <c r="R861" s="31">
        <v>0</v>
      </c>
      <c r="S861" s="31">
        <v>0</v>
      </c>
      <c r="T861" s="31" t="s">
        <v>46</v>
      </c>
      <c r="U861" s="31" t="s">
        <v>46</v>
      </c>
    </row>
    <row r="862" spans="1:21" x14ac:dyDescent="0.2">
      <c r="A862" s="31">
        <v>0.85005100306018355</v>
      </c>
      <c r="B862" s="46" t="s">
        <v>1052</v>
      </c>
      <c r="C862" s="32">
        <v>0</v>
      </c>
      <c r="D862" s="32">
        <v>1</v>
      </c>
      <c r="E862" s="31">
        <v>0.50000000052480864</v>
      </c>
      <c r="F862" s="31">
        <v>0</v>
      </c>
      <c r="G862" s="31">
        <v>0</v>
      </c>
      <c r="H862" s="31">
        <v>0</v>
      </c>
      <c r="I862" s="31">
        <v>0</v>
      </c>
      <c r="J862" s="47" t="s">
        <v>1053</v>
      </c>
      <c r="K862" s="32">
        <v>0</v>
      </c>
      <c r="L862" s="32">
        <v>1</v>
      </c>
      <c r="M862" s="31">
        <v>-0.50000000052480864</v>
      </c>
      <c r="N862" s="31">
        <v>0</v>
      </c>
      <c r="O862" s="31">
        <v>0</v>
      </c>
      <c r="P862" s="31">
        <v>0</v>
      </c>
      <c r="Q862" s="31">
        <v>0</v>
      </c>
      <c r="R862" s="31">
        <v>0</v>
      </c>
      <c r="S862" s="31">
        <v>0</v>
      </c>
      <c r="T862" s="31" t="s">
        <v>46</v>
      </c>
      <c r="U862" s="31" t="s">
        <v>46</v>
      </c>
    </row>
    <row r="863" spans="1:21" x14ac:dyDescent="0.2">
      <c r="A863" s="31">
        <v>0.87838603649552305</v>
      </c>
      <c r="B863" s="46" t="s">
        <v>1054</v>
      </c>
      <c r="C863" s="32">
        <v>0</v>
      </c>
      <c r="D863" s="32">
        <v>1</v>
      </c>
      <c r="E863" s="31">
        <v>0.50000000052480864</v>
      </c>
      <c r="F863" s="31">
        <v>0</v>
      </c>
      <c r="G863" s="31">
        <v>0</v>
      </c>
      <c r="H863" s="31">
        <v>0</v>
      </c>
      <c r="I863" s="48">
        <v>0</v>
      </c>
      <c r="J863" s="47" t="s">
        <v>1055</v>
      </c>
      <c r="K863" s="32">
        <v>0</v>
      </c>
      <c r="L863" s="32">
        <v>1</v>
      </c>
      <c r="M863" s="31">
        <v>-0.50000000052480864</v>
      </c>
      <c r="N863" s="31">
        <v>0</v>
      </c>
      <c r="O863" s="31">
        <v>0</v>
      </c>
      <c r="P863" s="31">
        <v>0</v>
      </c>
      <c r="Q863" s="31">
        <v>0</v>
      </c>
      <c r="R863" s="31">
        <v>0</v>
      </c>
      <c r="S863" s="31">
        <v>0</v>
      </c>
      <c r="T863" s="31" t="s">
        <v>46</v>
      </c>
      <c r="U863" s="31" t="s">
        <v>46</v>
      </c>
    </row>
    <row r="864" spans="1:21" x14ac:dyDescent="0.2">
      <c r="A864" s="31">
        <v>0.90672106993086243</v>
      </c>
      <c r="B864" s="46" t="s">
        <v>1056</v>
      </c>
      <c r="C864" s="32">
        <v>0</v>
      </c>
      <c r="D864" s="32">
        <v>1</v>
      </c>
      <c r="E864" s="31">
        <v>0.50000000052480864</v>
      </c>
      <c r="F864" s="31">
        <v>0</v>
      </c>
      <c r="G864" s="31">
        <v>0</v>
      </c>
      <c r="H864" s="31">
        <v>0</v>
      </c>
      <c r="I864" s="48">
        <v>0</v>
      </c>
      <c r="J864" s="47" t="s">
        <v>1057</v>
      </c>
      <c r="K864" s="32">
        <v>0</v>
      </c>
      <c r="L864" s="32">
        <v>1</v>
      </c>
      <c r="M864" s="31">
        <v>-0.50000000052480864</v>
      </c>
      <c r="N864" s="31">
        <v>0</v>
      </c>
      <c r="O864" s="31">
        <v>0</v>
      </c>
      <c r="P864" s="31">
        <v>0</v>
      </c>
      <c r="Q864" s="31">
        <v>0</v>
      </c>
      <c r="R864" s="31">
        <v>0</v>
      </c>
      <c r="S864" s="31">
        <v>0</v>
      </c>
      <c r="T864" s="31" t="s">
        <v>46</v>
      </c>
      <c r="U864" s="31" t="s">
        <v>46</v>
      </c>
    </row>
    <row r="865" spans="1:21" x14ac:dyDescent="0.2">
      <c r="A865" s="31">
        <v>0.92088858664853224</v>
      </c>
      <c r="B865" s="46" t="s">
        <v>1058</v>
      </c>
      <c r="C865" s="32">
        <v>0</v>
      </c>
      <c r="D865" s="32">
        <v>1</v>
      </c>
      <c r="E865" s="31">
        <v>0.50000000052480864</v>
      </c>
      <c r="F865" s="31">
        <v>0</v>
      </c>
      <c r="G865" s="31">
        <v>0</v>
      </c>
      <c r="H865" s="31">
        <v>0</v>
      </c>
      <c r="I865" s="48">
        <v>0</v>
      </c>
      <c r="J865" s="47" t="s">
        <v>1059</v>
      </c>
      <c r="K865" s="32">
        <v>0</v>
      </c>
      <c r="L865" s="32">
        <v>1</v>
      </c>
      <c r="M865" s="31">
        <v>-0.50000000052480864</v>
      </c>
      <c r="N865" s="31">
        <v>0</v>
      </c>
      <c r="O865" s="31">
        <v>0</v>
      </c>
      <c r="P865" s="31">
        <v>0</v>
      </c>
      <c r="Q865" s="31">
        <v>0</v>
      </c>
      <c r="R865" s="31">
        <v>0</v>
      </c>
      <c r="S865" s="31">
        <v>0</v>
      </c>
      <c r="T865" s="31" t="s">
        <v>46</v>
      </c>
      <c r="U865" s="31" t="s">
        <v>46</v>
      </c>
    </row>
    <row r="866" spans="1:21" x14ac:dyDescent="0.2">
      <c r="A866" s="31">
        <v>0.93505610336620193</v>
      </c>
      <c r="B866" s="46" t="s">
        <v>1060</v>
      </c>
      <c r="C866" s="32">
        <v>0</v>
      </c>
      <c r="D866" s="32">
        <v>1</v>
      </c>
      <c r="E866" s="31">
        <v>0.50000000052480864</v>
      </c>
      <c r="F866" s="31">
        <v>0</v>
      </c>
      <c r="G866" s="31">
        <v>0</v>
      </c>
      <c r="H866" s="31">
        <v>0</v>
      </c>
      <c r="I866" s="48">
        <v>0</v>
      </c>
      <c r="J866" s="47" t="s">
        <v>1061</v>
      </c>
      <c r="K866" s="32">
        <v>0</v>
      </c>
      <c r="L866" s="32">
        <v>1</v>
      </c>
      <c r="M866" s="31">
        <v>-0.50000000052480864</v>
      </c>
      <c r="N866" s="31">
        <v>0</v>
      </c>
      <c r="O866" s="31">
        <v>0</v>
      </c>
      <c r="P866" s="31">
        <v>0</v>
      </c>
      <c r="Q866" s="31">
        <v>0</v>
      </c>
      <c r="R866" s="31">
        <v>0</v>
      </c>
      <c r="S866" s="31">
        <v>0</v>
      </c>
      <c r="T866" s="31" t="s">
        <v>46</v>
      </c>
      <c r="U866" s="31" t="s">
        <v>46</v>
      </c>
    </row>
    <row r="867" spans="1:21" x14ac:dyDescent="0.2">
      <c r="A867" s="31">
        <v>0.94922362008387162</v>
      </c>
      <c r="B867" s="46" t="s">
        <v>1062</v>
      </c>
      <c r="C867" s="32">
        <v>0</v>
      </c>
      <c r="D867" s="32">
        <v>1</v>
      </c>
      <c r="E867" s="31">
        <v>0.50000000052480864</v>
      </c>
      <c r="F867" s="31">
        <v>0</v>
      </c>
      <c r="G867" s="31">
        <v>0</v>
      </c>
      <c r="H867" s="31">
        <v>0</v>
      </c>
      <c r="I867" s="48">
        <v>0</v>
      </c>
      <c r="J867" s="47" t="s">
        <v>1063</v>
      </c>
      <c r="K867" s="32">
        <v>0</v>
      </c>
      <c r="L867" s="32">
        <v>1</v>
      </c>
      <c r="M867" s="31">
        <v>-0.50000000052480864</v>
      </c>
      <c r="N867" s="31">
        <v>0</v>
      </c>
      <c r="O867" s="31">
        <v>0</v>
      </c>
      <c r="P867" s="31">
        <v>0</v>
      </c>
      <c r="Q867" s="31">
        <v>0</v>
      </c>
      <c r="R867" s="31">
        <v>0</v>
      </c>
      <c r="S867" s="31">
        <v>0</v>
      </c>
      <c r="T867" s="31" t="s">
        <v>46</v>
      </c>
      <c r="U867" s="31" t="s">
        <v>46</v>
      </c>
    </row>
    <row r="868" spans="1:21" x14ac:dyDescent="0.2">
      <c r="A868" s="31">
        <v>0.96339113680154143</v>
      </c>
      <c r="B868" s="46" t="s">
        <v>1064</v>
      </c>
      <c r="C868" s="32">
        <v>0</v>
      </c>
      <c r="D868" s="32">
        <v>1</v>
      </c>
      <c r="E868" s="31">
        <v>0.50000000052480864</v>
      </c>
      <c r="F868" s="31">
        <v>0</v>
      </c>
      <c r="G868" s="31">
        <v>0</v>
      </c>
      <c r="H868" s="31">
        <v>0</v>
      </c>
      <c r="I868" s="48">
        <v>0</v>
      </c>
      <c r="J868" s="47" t="s">
        <v>1065</v>
      </c>
      <c r="K868" s="32">
        <v>0</v>
      </c>
      <c r="L868" s="32">
        <v>1</v>
      </c>
      <c r="M868" s="31">
        <v>-0.50000000052480864</v>
      </c>
      <c r="N868" s="31">
        <v>0</v>
      </c>
      <c r="O868" s="31">
        <v>0</v>
      </c>
      <c r="P868" s="31">
        <v>0</v>
      </c>
      <c r="Q868" s="31">
        <v>0</v>
      </c>
      <c r="R868" s="31">
        <v>0</v>
      </c>
      <c r="S868" s="31">
        <v>0</v>
      </c>
      <c r="T868" s="31" t="s">
        <v>46</v>
      </c>
      <c r="U868" s="31" t="s">
        <v>46</v>
      </c>
    </row>
    <row r="869" spans="1:21" x14ac:dyDescent="0.2">
      <c r="A869" s="31">
        <v>0.97755865351921112</v>
      </c>
      <c r="B869" s="46" t="s">
        <v>1066</v>
      </c>
      <c r="C869" s="32">
        <v>0</v>
      </c>
      <c r="D869" s="32">
        <v>1</v>
      </c>
      <c r="E869" s="31">
        <v>0.50000000052480864</v>
      </c>
      <c r="F869" s="31">
        <v>0</v>
      </c>
      <c r="G869" s="31">
        <v>0</v>
      </c>
      <c r="H869" s="31">
        <v>0</v>
      </c>
      <c r="I869" s="48">
        <v>0</v>
      </c>
      <c r="J869" s="47" t="s">
        <v>1067</v>
      </c>
      <c r="K869" s="32">
        <v>0</v>
      </c>
      <c r="L869" s="32">
        <v>1</v>
      </c>
      <c r="M869" s="31">
        <v>-0.50000000052480864</v>
      </c>
      <c r="N869" s="31">
        <v>0</v>
      </c>
      <c r="O869" s="31">
        <v>0</v>
      </c>
      <c r="P869" s="31">
        <v>0</v>
      </c>
      <c r="Q869" s="31">
        <v>0</v>
      </c>
      <c r="R869" s="31">
        <v>0</v>
      </c>
      <c r="S869" s="31">
        <v>0</v>
      </c>
      <c r="T869" s="31" t="s">
        <v>46</v>
      </c>
      <c r="U869" s="31" t="s">
        <v>46</v>
      </c>
    </row>
    <row r="870" spans="1:21" x14ac:dyDescent="0.2">
      <c r="A870" s="31">
        <v>0.99172617023688081</v>
      </c>
      <c r="B870" s="46" t="s">
        <v>1068</v>
      </c>
      <c r="C870" s="32">
        <v>0</v>
      </c>
      <c r="D870" s="32">
        <v>1</v>
      </c>
      <c r="E870" s="31">
        <v>0.50000000052480864</v>
      </c>
      <c r="F870" s="31">
        <v>0</v>
      </c>
      <c r="G870" s="31">
        <v>0</v>
      </c>
      <c r="H870" s="31">
        <v>0</v>
      </c>
      <c r="I870" s="48">
        <v>0</v>
      </c>
      <c r="J870" s="47" t="s">
        <v>1069</v>
      </c>
      <c r="K870" s="32">
        <v>0</v>
      </c>
      <c r="L870" s="32">
        <v>1</v>
      </c>
      <c r="M870" s="31">
        <v>-0.50000000052480864</v>
      </c>
      <c r="N870" s="31">
        <v>0</v>
      </c>
      <c r="O870" s="31">
        <v>0</v>
      </c>
      <c r="P870" s="31">
        <v>0</v>
      </c>
      <c r="Q870" s="31">
        <v>0</v>
      </c>
      <c r="R870" s="31">
        <v>0</v>
      </c>
      <c r="S870" s="31">
        <v>0</v>
      </c>
      <c r="T870" s="31" t="s">
        <v>46</v>
      </c>
      <c r="U870" s="31" t="s">
        <v>46</v>
      </c>
    </row>
    <row r="871" spans="1:21" x14ac:dyDescent="0.2">
      <c r="A871" s="31">
        <v>1.0058936869545505</v>
      </c>
      <c r="B871" s="46" t="s">
        <v>1070</v>
      </c>
      <c r="C871" s="32">
        <v>0</v>
      </c>
      <c r="D871" s="32">
        <v>1</v>
      </c>
      <c r="E871" s="31">
        <v>0.50000000052480864</v>
      </c>
      <c r="F871" s="31">
        <v>0</v>
      </c>
      <c r="G871" s="31">
        <v>0</v>
      </c>
      <c r="H871" s="31">
        <v>0</v>
      </c>
      <c r="I871" s="48">
        <v>0</v>
      </c>
      <c r="J871" s="47" t="s">
        <v>1071</v>
      </c>
      <c r="K871" s="32">
        <v>0</v>
      </c>
      <c r="L871" s="32">
        <v>1</v>
      </c>
      <c r="M871" s="31">
        <v>-0.50000000052480864</v>
      </c>
      <c r="N871" s="31">
        <v>0</v>
      </c>
      <c r="O871" s="31">
        <v>0</v>
      </c>
      <c r="P871" s="31">
        <v>0</v>
      </c>
      <c r="Q871" s="31">
        <v>0</v>
      </c>
      <c r="R871" s="31">
        <v>0</v>
      </c>
      <c r="S871" s="31">
        <v>0</v>
      </c>
      <c r="T871" s="31" t="s">
        <v>46</v>
      </c>
      <c r="U871" s="31" t="s">
        <v>46</v>
      </c>
    </row>
    <row r="872" spans="1:21" x14ac:dyDescent="0.2">
      <c r="A872" s="31">
        <v>1.0200612036722203</v>
      </c>
      <c r="B872" s="46" t="s">
        <v>1072</v>
      </c>
      <c r="C872" s="32">
        <v>0</v>
      </c>
      <c r="D872" s="32">
        <v>1</v>
      </c>
      <c r="E872" s="31">
        <v>0.50000000052480864</v>
      </c>
      <c r="F872" s="31">
        <v>0</v>
      </c>
      <c r="G872" s="31">
        <v>0</v>
      </c>
      <c r="H872" s="31">
        <v>0</v>
      </c>
      <c r="I872" s="48">
        <v>0</v>
      </c>
      <c r="J872" s="47" t="s">
        <v>1073</v>
      </c>
      <c r="K872" s="32">
        <v>0</v>
      </c>
      <c r="L872" s="32">
        <v>1</v>
      </c>
      <c r="M872" s="31">
        <v>-0.50000000052480864</v>
      </c>
      <c r="N872" s="31">
        <v>0</v>
      </c>
      <c r="O872" s="31">
        <v>0</v>
      </c>
      <c r="P872" s="31">
        <v>0</v>
      </c>
      <c r="Q872" s="31">
        <v>0</v>
      </c>
      <c r="R872" s="31">
        <v>0</v>
      </c>
      <c r="S872" s="31">
        <v>0</v>
      </c>
      <c r="T872" s="31" t="s">
        <v>46</v>
      </c>
      <c r="U872" s="31" t="s">
        <v>46</v>
      </c>
    </row>
    <row r="873" spans="1:21" x14ac:dyDescent="0.2">
      <c r="A873" s="31">
        <v>1.0342287203898901</v>
      </c>
      <c r="B873" s="46" t="s">
        <v>1074</v>
      </c>
      <c r="C873" s="32">
        <v>0</v>
      </c>
      <c r="D873" s="32">
        <v>1</v>
      </c>
      <c r="E873" s="31">
        <v>0.50000000052480864</v>
      </c>
      <c r="F873" s="31">
        <v>0</v>
      </c>
      <c r="G873" s="31">
        <v>0</v>
      </c>
      <c r="H873" s="31">
        <v>0</v>
      </c>
      <c r="I873" s="48">
        <v>0</v>
      </c>
      <c r="J873" s="47" t="s">
        <v>1075</v>
      </c>
      <c r="K873" s="32">
        <v>0</v>
      </c>
      <c r="L873" s="32">
        <v>1</v>
      </c>
      <c r="M873" s="31">
        <v>-0.50000000052480864</v>
      </c>
      <c r="N873" s="31">
        <v>0</v>
      </c>
      <c r="O873" s="31">
        <v>0</v>
      </c>
      <c r="P873" s="31">
        <v>0</v>
      </c>
      <c r="Q873" s="31">
        <v>0</v>
      </c>
      <c r="R873" s="31">
        <v>0</v>
      </c>
      <c r="S873" s="31">
        <v>0</v>
      </c>
      <c r="T873" s="31" t="s">
        <v>46</v>
      </c>
      <c r="U873" s="31" t="s">
        <v>46</v>
      </c>
    </row>
    <row r="874" spans="1:21" x14ac:dyDescent="0.2">
      <c r="A874" s="31">
        <v>1.0483962371075597</v>
      </c>
      <c r="B874" s="46" t="s">
        <v>1076</v>
      </c>
      <c r="C874" s="32">
        <v>0</v>
      </c>
      <c r="D874" s="32">
        <v>1</v>
      </c>
      <c r="E874" s="31">
        <v>0.50000000052480864</v>
      </c>
      <c r="F874" s="31">
        <v>0</v>
      </c>
      <c r="G874" s="31">
        <v>0</v>
      </c>
      <c r="H874" s="31">
        <v>0</v>
      </c>
      <c r="I874" s="48">
        <v>0</v>
      </c>
      <c r="J874" s="47" t="s">
        <v>1077</v>
      </c>
      <c r="K874" s="32">
        <v>0</v>
      </c>
      <c r="L874" s="32">
        <v>1</v>
      </c>
      <c r="M874" s="31">
        <v>-0.50000000052480864</v>
      </c>
      <c r="N874" s="31">
        <v>0</v>
      </c>
      <c r="O874" s="31">
        <v>0</v>
      </c>
      <c r="P874" s="31">
        <v>0</v>
      </c>
      <c r="Q874" s="31">
        <v>0</v>
      </c>
      <c r="R874" s="31">
        <v>0</v>
      </c>
      <c r="S874" s="31">
        <v>0</v>
      </c>
      <c r="T874" s="31" t="s">
        <v>46</v>
      </c>
      <c r="U874" s="31" t="s">
        <v>46</v>
      </c>
    </row>
    <row r="875" spans="1:21" x14ac:dyDescent="0.2">
      <c r="A875" s="31">
        <v>1.0625637538252295</v>
      </c>
      <c r="B875" s="46" t="s">
        <v>1078</v>
      </c>
      <c r="C875" s="32">
        <v>0</v>
      </c>
      <c r="D875" s="32">
        <v>1</v>
      </c>
      <c r="E875" s="31">
        <v>0.50000000052480864</v>
      </c>
      <c r="F875" s="31">
        <v>0</v>
      </c>
      <c r="G875" s="31">
        <v>0</v>
      </c>
      <c r="H875" s="31">
        <v>0</v>
      </c>
      <c r="I875" s="48">
        <v>0</v>
      </c>
      <c r="J875" s="47" t="s">
        <v>1079</v>
      </c>
      <c r="K875" s="32">
        <v>0</v>
      </c>
      <c r="L875" s="32">
        <v>1</v>
      </c>
      <c r="M875" s="31">
        <v>-0.50000000052480864</v>
      </c>
      <c r="N875" s="31">
        <v>0</v>
      </c>
      <c r="O875" s="31">
        <v>0</v>
      </c>
      <c r="P875" s="31">
        <v>0</v>
      </c>
      <c r="Q875" s="31">
        <v>0</v>
      </c>
      <c r="R875" s="31">
        <v>0</v>
      </c>
      <c r="S875" s="31">
        <v>0</v>
      </c>
      <c r="T875" s="31" t="s">
        <v>46</v>
      </c>
      <c r="U875" s="31" t="s">
        <v>46</v>
      </c>
    </row>
    <row r="876" spans="1:21" x14ac:dyDescent="0.2">
      <c r="A876" s="31">
        <v>1.0767312705428993</v>
      </c>
      <c r="B876" s="46" t="s">
        <v>1080</v>
      </c>
      <c r="C876" s="32">
        <v>0</v>
      </c>
      <c r="D876" s="32">
        <v>1</v>
      </c>
      <c r="E876" s="31">
        <v>0.50000000052480864</v>
      </c>
      <c r="F876" s="31">
        <v>0</v>
      </c>
      <c r="G876" s="31">
        <v>0</v>
      </c>
      <c r="H876" s="31">
        <v>0</v>
      </c>
      <c r="I876" s="48">
        <v>0</v>
      </c>
      <c r="J876" s="47" t="s">
        <v>1081</v>
      </c>
      <c r="K876" s="32">
        <v>0</v>
      </c>
      <c r="L876" s="32">
        <v>1</v>
      </c>
      <c r="M876" s="31">
        <v>-0.50000000052480864</v>
      </c>
      <c r="N876" s="31">
        <v>0</v>
      </c>
      <c r="O876" s="31">
        <v>0</v>
      </c>
      <c r="P876" s="31">
        <v>0</v>
      </c>
      <c r="Q876" s="31">
        <v>0</v>
      </c>
      <c r="R876" s="31">
        <v>0</v>
      </c>
      <c r="S876" s="31">
        <v>0</v>
      </c>
      <c r="T876" s="31" t="s">
        <v>46</v>
      </c>
      <c r="U876" s="31" t="s">
        <v>46</v>
      </c>
    </row>
    <row r="877" spans="1:21" x14ac:dyDescent="0.2">
      <c r="A877" s="31">
        <v>1.0908987872605689</v>
      </c>
      <c r="B877" s="46" t="s">
        <v>1082</v>
      </c>
      <c r="C877" s="32">
        <v>0</v>
      </c>
      <c r="D877" s="32">
        <v>1</v>
      </c>
      <c r="E877" s="31">
        <v>0.50000000052480864</v>
      </c>
      <c r="F877" s="31">
        <v>0</v>
      </c>
      <c r="G877" s="31">
        <v>0</v>
      </c>
      <c r="H877" s="31">
        <v>0</v>
      </c>
      <c r="I877" s="48">
        <v>0</v>
      </c>
      <c r="J877" s="47" t="s">
        <v>1083</v>
      </c>
      <c r="K877" s="32">
        <v>0</v>
      </c>
      <c r="L877" s="32">
        <v>1</v>
      </c>
      <c r="M877" s="31">
        <v>-0.50000000052480864</v>
      </c>
      <c r="N877" s="31">
        <v>0</v>
      </c>
      <c r="O877" s="31">
        <v>0</v>
      </c>
      <c r="P877" s="31">
        <v>0</v>
      </c>
      <c r="Q877" s="31">
        <v>0</v>
      </c>
      <c r="R877" s="31">
        <v>0</v>
      </c>
      <c r="S877" s="31">
        <v>0</v>
      </c>
      <c r="T877" s="31" t="s">
        <v>46</v>
      </c>
      <c r="U877" s="31" t="s">
        <v>46</v>
      </c>
    </row>
    <row r="878" spans="1:21" x14ac:dyDescent="0.2">
      <c r="A878" s="31">
        <v>1.1050663039782387</v>
      </c>
      <c r="B878" s="46" t="s">
        <v>1084</v>
      </c>
      <c r="C878" s="32">
        <v>0</v>
      </c>
      <c r="D878" s="32">
        <v>1</v>
      </c>
      <c r="E878" s="31">
        <v>0.50000000052480864</v>
      </c>
      <c r="F878" s="31">
        <v>0</v>
      </c>
      <c r="G878" s="31">
        <v>0</v>
      </c>
      <c r="H878" s="31">
        <v>0</v>
      </c>
      <c r="I878" s="48">
        <v>0</v>
      </c>
      <c r="J878" s="47" t="s">
        <v>1085</v>
      </c>
      <c r="K878" s="32">
        <v>0</v>
      </c>
      <c r="L878" s="32">
        <v>1</v>
      </c>
      <c r="M878" s="31">
        <v>-0.50000000052480864</v>
      </c>
      <c r="N878" s="31">
        <v>0</v>
      </c>
      <c r="O878" s="31">
        <v>0</v>
      </c>
      <c r="P878" s="31">
        <v>0</v>
      </c>
      <c r="Q878" s="31">
        <v>0</v>
      </c>
      <c r="R878" s="31">
        <v>0</v>
      </c>
      <c r="S878" s="31">
        <v>0</v>
      </c>
      <c r="T878" s="31" t="s">
        <v>46</v>
      </c>
      <c r="U878" s="31" t="s">
        <v>46</v>
      </c>
    </row>
    <row r="879" spans="1:21" x14ac:dyDescent="0.2">
      <c r="A879" s="31">
        <v>1.1192338206959083</v>
      </c>
      <c r="B879" s="46" t="s">
        <v>1086</v>
      </c>
      <c r="C879" s="32">
        <v>0</v>
      </c>
      <c r="D879" s="32">
        <v>1</v>
      </c>
      <c r="E879" s="31">
        <v>0.50000000052480864</v>
      </c>
      <c r="F879" s="31">
        <v>0</v>
      </c>
      <c r="G879" s="31">
        <v>0</v>
      </c>
      <c r="H879" s="31">
        <v>0</v>
      </c>
      <c r="I879" s="48">
        <v>0</v>
      </c>
      <c r="J879" s="47" t="s">
        <v>1087</v>
      </c>
      <c r="K879" s="32">
        <v>0</v>
      </c>
      <c r="L879" s="32">
        <v>1</v>
      </c>
      <c r="M879" s="31">
        <v>-0.50000000052480864</v>
      </c>
      <c r="N879" s="31">
        <v>0</v>
      </c>
      <c r="O879" s="31">
        <v>0</v>
      </c>
      <c r="P879" s="31">
        <v>0</v>
      </c>
      <c r="Q879" s="31">
        <v>0</v>
      </c>
      <c r="R879" s="31">
        <v>0</v>
      </c>
      <c r="S879" s="31">
        <v>0</v>
      </c>
      <c r="T879" s="31" t="s">
        <v>46</v>
      </c>
      <c r="U879" s="31" t="s">
        <v>46</v>
      </c>
    </row>
    <row r="880" spans="1:21" x14ac:dyDescent="0.2">
      <c r="A880" s="31">
        <v>1.1334013374135781</v>
      </c>
      <c r="B880" s="46" t="s">
        <v>1088</v>
      </c>
      <c r="C880" s="32">
        <v>0</v>
      </c>
      <c r="D880" s="32">
        <v>1</v>
      </c>
      <c r="E880" s="31">
        <v>0.50000000052480864</v>
      </c>
      <c r="F880" s="31">
        <v>0</v>
      </c>
      <c r="G880" s="31">
        <v>0</v>
      </c>
      <c r="H880" s="31">
        <v>0</v>
      </c>
      <c r="I880" s="48">
        <v>0</v>
      </c>
      <c r="J880" s="47" t="s">
        <v>1089</v>
      </c>
      <c r="K880" s="32">
        <v>0</v>
      </c>
      <c r="L880" s="32">
        <v>1</v>
      </c>
      <c r="M880" s="31">
        <v>-0.50000000052480864</v>
      </c>
      <c r="N880" s="31">
        <v>0</v>
      </c>
      <c r="O880" s="31">
        <v>0</v>
      </c>
      <c r="P880" s="31">
        <v>0</v>
      </c>
      <c r="Q880" s="31">
        <v>0</v>
      </c>
      <c r="R880" s="31">
        <v>0</v>
      </c>
      <c r="S880" s="31">
        <v>0</v>
      </c>
      <c r="T880" s="31" t="s">
        <v>46</v>
      </c>
      <c r="U880" s="31" t="s">
        <v>46</v>
      </c>
    </row>
    <row r="881" spans="1:21" x14ac:dyDescent="0.2">
      <c r="A881" s="31">
        <v>1.1475688541312479</v>
      </c>
      <c r="B881" s="46" t="s">
        <v>1090</v>
      </c>
      <c r="C881" s="32">
        <v>0</v>
      </c>
      <c r="D881" s="32">
        <v>1</v>
      </c>
      <c r="E881" s="31">
        <v>0.50000000052480864</v>
      </c>
      <c r="F881" s="31">
        <v>0</v>
      </c>
      <c r="G881" s="31">
        <v>0</v>
      </c>
      <c r="H881" s="31">
        <v>0</v>
      </c>
      <c r="I881" s="48">
        <v>0</v>
      </c>
      <c r="J881" s="47" t="s">
        <v>1091</v>
      </c>
      <c r="K881" s="32">
        <v>0</v>
      </c>
      <c r="L881" s="32">
        <v>1</v>
      </c>
      <c r="M881" s="31">
        <v>-0.50000000052480864</v>
      </c>
      <c r="N881" s="31">
        <v>0</v>
      </c>
      <c r="O881" s="31">
        <v>0</v>
      </c>
      <c r="P881" s="31">
        <v>0</v>
      </c>
      <c r="Q881" s="31">
        <v>0</v>
      </c>
      <c r="R881" s="31">
        <v>0</v>
      </c>
      <c r="S881" s="31">
        <v>0</v>
      </c>
      <c r="T881" s="31" t="s">
        <v>46</v>
      </c>
      <c r="U881" s="31" t="s">
        <v>46</v>
      </c>
    </row>
    <row r="882" spans="1:21" x14ac:dyDescent="0.2">
      <c r="A882" s="31">
        <v>1.1617363708489175</v>
      </c>
      <c r="B882" s="46" t="s">
        <v>1092</v>
      </c>
      <c r="C882" s="32">
        <v>0</v>
      </c>
      <c r="D882" s="32">
        <v>1</v>
      </c>
      <c r="E882" s="31">
        <v>0.50000000052480864</v>
      </c>
      <c r="F882" s="31">
        <v>0</v>
      </c>
      <c r="G882" s="31">
        <v>0</v>
      </c>
      <c r="H882" s="31">
        <v>0</v>
      </c>
      <c r="I882" s="48">
        <v>0</v>
      </c>
      <c r="J882" s="47" t="s">
        <v>1093</v>
      </c>
      <c r="K882" s="32">
        <v>0</v>
      </c>
      <c r="L882" s="32">
        <v>1</v>
      </c>
      <c r="M882" s="31">
        <v>-0.50000000052480864</v>
      </c>
      <c r="N882" s="31">
        <v>0</v>
      </c>
      <c r="O882" s="31">
        <v>0</v>
      </c>
      <c r="P882" s="31">
        <v>0</v>
      </c>
      <c r="Q882" s="31">
        <v>0</v>
      </c>
      <c r="R882" s="31">
        <v>0</v>
      </c>
      <c r="S882" s="31">
        <v>0</v>
      </c>
      <c r="T882" s="31" t="s">
        <v>46</v>
      </c>
      <c r="U882" s="31" t="s">
        <v>46</v>
      </c>
    </row>
    <row r="883" spans="1:21" x14ac:dyDescent="0.2">
      <c r="A883" s="31">
        <v>1.1900714042842571</v>
      </c>
      <c r="B883" s="46" t="s">
        <v>1094</v>
      </c>
      <c r="C883" s="32">
        <v>0</v>
      </c>
      <c r="D883" s="32">
        <v>1</v>
      </c>
      <c r="E883" s="31">
        <v>0.50000000052480864</v>
      </c>
      <c r="F883" s="31">
        <v>0</v>
      </c>
      <c r="G883" s="31">
        <v>0</v>
      </c>
      <c r="H883" s="31">
        <v>0</v>
      </c>
      <c r="I883" s="48">
        <v>0</v>
      </c>
      <c r="J883" s="47" t="s">
        <v>1095</v>
      </c>
      <c r="K883" s="32">
        <v>0</v>
      </c>
      <c r="L883" s="32">
        <v>1</v>
      </c>
      <c r="M883" s="31">
        <v>-0.50000000052480864</v>
      </c>
      <c r="N883" s="31">
        <v>0</v>
      </c>
      <c r="O883" s="31">
        <v>0</v>
      </c>
      <c r="P883" s="31">
        <v>0</v>
      </c>
      <c r="Q883" s="31">
        <v>0</v>
      </c>
      <c r="R883" s="31">
        <v>0</v>
      </c>
      <c r="S883" s="31">
        <v>0</v>
      </c>
      <c r="T883" s="31" t="s">
        <v>46</v>
      </c>
      <c r="U883" s="31" t="s">
        <v>46</v>
      </c>
    </row>
    <row r="884" spans="1:21" x14ac:dyDescent="0.2">
      <c r="A884" s="31">
        <v>1.2184064377195964</v>
      </c>
      <c r="B884" s="46" t="s">
        <v>1096</v>
      </c>
      <c r="C884" s="32">
        <v>0</v>
      </c>
      <c r="D884" s="32">
        <v>1</v>
      </c>
      <c r="E884" s="31">
        <v>0.50000000052480864</v>
      </c>
      <c r="F884" s="31">
        <v>0</v>
      </c>
      <c r="G884" s="31">
        <v>0</v>
      </c>
      <c r="H884" s="31">
        <v>0</v>
      </c>
      <c r="I884" s="48">
        <v>0</v>
      </c>
      <c r="J884" s="47" t="s">
        <v>1097</v>
      </c>
      <c r="K884" s="32">
        <v>0</v>
      </c>
      <c r="L884" s="32">
        <v>1</v>
      </c>
      <c r="M884" s="31">
        <v>-0.50000000052480864</v>
      </c>
      <c r="N884" s="31">
        <v>0</v>
      </c>
      <c r="O884" s="31">
        <v>0</v>
      </c>
      <c r="P884" s="31">
        <v>0</v>
      </c>
      <c r="Q884" s="31">
        <v>0</v>
      </c>
      <c r="R884" s="31">
        <v>0</v>
      </c>
      <c r="S884" s="31">
        <v>0</v>
      </c>
      <c r="T884" s="31" t="s">
        <v>46</v>
      </c>
      <c r="U884" s="31" t="s">
        <v>46</v>
      </c>
    </row>
    <row r="885" spans="1:21" x14ac:dyDescent="0.2">
      <c r="A885" s="31">
        <v>1.2467414711549358</v>
      </c>
      <c r="B885" s="46" t="s">
        <v>1098</v>
      </c>
      <c r="C885" s="32">
        <v>0</v>
      </c>
      <c r="D885" s="32">
        <v>1</v>
      </c>
      <c r="E885" s="31">
        <v>0.50000000052480864</v>
      </c>
      <c r="F885" s="31">
        <v>0</v>
      </c>
      <c r="G885" s="31">
        <v>0</v>
      </c>
      <c r="H885" s="31">
        <v>0</v>
      </c>
      <c r="I885" s="48">
        <v>0</v>
      </c>
      <c r="J885" s="47" t="s">
        <v>1099</v>
      </c>
      <c r="K885" s="32">
        <v>0</v>
      </c>
      <c r="L885" s="32">
        <v>1</v>
      </c>
      <c r="M885" s="31">
        <v>-0.50000000052480864</v>
      </c>
      <c r="N885" s="31">
        <v>0</v>
      </c>
      <c r="O885" s="31">
        <v>0</v>
      </c>
      <c r="P885" s="31">
        <v>0</v>
      </c>
      <c r="Q885" s="31">
        <v>0</v>
      </c>
      <c r="R885" s="31">
        <v>0</v>
      </c>
      <c r="S885" s="31">
        <v>0</v>
      </c>
      <c r="T885" s="31" t="s">
        <v>46</v>
      </c>
      <c r="U885" s="31" t="s">
        <v>46</v>
      </c>
    </row>
    <row r="886" spans="1:21" x14ac:dyDescent="0.2">
      <c r="A886" s="31">
        <v>1.2750765045902754</v>
      </c>
      <c r="B886" s="46" t="s">
        <v>1100</v>
      </c>
      <c r="C886" s="32">
        <v>0</v>
      </c>
      <c r="D886" s="32">
        <v>1</v>
      </c>
      <c r="E886" s="31">
        <v>0.50000000052480864</v>
      </c>
      <c r="F886" s="31">
        <v>0</v>
      </c>
      <c r="G886" s="31">
        <v>0</v>
      </c>
      <c r="H886" s="31">
        <v>0</v>
      </c>
      <c r="I886" s="48">
        <v>0</v>
      </c>
      <c r="J886" s="47" t="s">
        <v>1101</v>
      </c>
      <c r="K886" s="32">
        <v>0</v>
      </c>
      <c r="L886" s="32">
        <v>1</v>
      </c>
      <c r="M886" s="31">
        <v>-0.50000000052480864</v>
      </c>
      <c r="N886" s="31">
        <v>0</v>
      </c>
      <c r="O886" s="31">
        <v>0</v>
      </c>
      <c r="P886" s="31">
        <v>0</v>
      </c>
      <c r="Q886" s="31">
        <v>0</v>
      </c>
      <c r="R886" s="31">
        <v>0</v>
      </c>
      <c r="S886" s="31">
        <v>0</v>
      </c>
      <c r="T886" s="31" t="s">
        <v>46</v>
      </c>
      <c r="U886" s="31" t="s">
        <v>46</v>
      </c>
    </row>
    <row r="887" spans="1:21" x14ac:dyDescent="0.2">
      <c r="A887" s="31">
        <v>1.3034115380256148</v>
      </c>
      <c r="B887" s="46" t="s">
        <v>1102</v>
      </c>
      <c r="C887" s="32">
        <v>0</v>
      </c>
      <c r="D887" s="32">
        <v>1</v>
      </c>
      <c r="E887" s="31">
        <v>0.50000000052480864</v>
      </c>
      <c r="F887" s="31">
        <v>0</v>
      </c>
      <c r="G887" s="31">
        <v>0</v>
      </c>
      <c r="H887" s="31">
        <v>0</v>
      </c>
      <c r="I887" s="48">
        <v>0</v>
      </c>
      <c r="J887" s="47" t="s">
        <v>1103</v>
      </c>
      <c r="K887" s="32">
        <v>0</v>
      </c>
      <c r="L887" s="32">
        <v>1</v>
      </c>
      <c r="M887" s="31">
        <v>-0.50000000052480864</v>
      </c>
      <c r="N887" s="31">
        <v>0</v>
      </c>
      <c r="O887" s="31">
        <v>0</v>
      </c>
      <c r="P887" s="31">
        <v>0</v>
      </c>
      <c r="Q887" s="31">
        <v>0</v>
      </c>
      <c r="R887" s="31">
        <v>0</v>
      </c>
      <c r="S887" s="31">
        <v>0</v>
      </c>
      <c r="T887" s="31" t="s">
        <v>46</v>
      </c>
      <c r="U887" s="31" t="s">
        <v>46</v>
      </c>
    </row>
    <row r="888" spans="1:21" x14ac:dyDescent="0.2">
      <c r="A888" s="31">
        <v>1.3317465714609542</v>
      </c>
      <c r="B888" s="46" t="s">
        <v>1104</v>
      </c>
      <c r="C888" s="32">
        <v>0</v>
      </c>
      <c r="D888" s="32">
        <v>1</v>
      </c>
      <c r="E888" s="31">
        <v>0.50000000052480864</v>
      </c>
      <c r="F888" s="31">
        <v>0</v>
      </c>
      <c r="G888" s="31">
        <v>0</v>
      </c>
      <c r="H888" s="31">
        <v>0</v>
      </c>
      <c r="I888" s="48">
        <v>0</v>
      </c>
      <c r="J888" s="47" t="s">
        <v>1105</v>
      </c>
      <c r="K888" s="32">
        <v>0</v>
      </c>
      <c r="L888" s="32">
        <v>1</v>
      </c>
      <c r="M888" s="31">
        <v>-0.50000000052480864</v>
      </c>
      <c r="N888" s="31">
        <v>0</v>
      </c>
      <c r="O888" s="31">
        <v>0</v>
      </c>
      <c r="P888" s="31">
        <v>0</v>
      </c>
      <c r="Q888" s="31">
        <v>0</v>
      </c>
      <c r="R888" s="31">
        <v>0</v>
      </c>
      <c r="S888" s="31">
        <v>0</v>
      </c>
      <c r="T888" s="31" t="s">
        <v>46</v>
      </c>
      <c r="U888" s="31" t="s">
        <v>46</v>
      </c>
    </row>
    <row r="889" spans="1:21" x14ac:dyDescent="0.2">
      <c r="A889" s="31">
        <v>1.3600816048962938</v>
      </c>
      <c r="B889" s="46" t="s">
        <v>1106</v>
      </c>
      <c r="C889" s="32">
        <v>0</v>
      </c>
      <c r="D889" s="32">
        <v>1</v>
      </c>
      <c r="E889" s="31">
        <v>0.50000000052480864</v>
      </c>
      <c r="F889" s="31">
        <v>0</v>
      </c>
      <c r="G889" s="31">
        <v>0</v>
      </c>
      <c r="H889" s="31">
        <v>0</v>
      </c>
      <c r="I889" s="48">
        <v>0</v>
      </c>
      <c r="J889" s="47" t="s">
        <v>1107</v>
      </c>
      <c r="K889" s="32">
        <v>0</v>
      </c>
      <c r="L889" s="32">
        <v>1</v>
      </c>
      <c r="M889" s="31">
        <v>-0.50000000052480864</v>
      </c>
      <c r="N889" s="31">
        <v>0</v>
      </c>
      <c r="O889" s="31">
        <v>0</v>
      </c>
      <c r="P889" s="31">
        <v>0</v>
      </c>
      <c r="Q889" s="31">
        <v>0</v>
      </c>
      <c r="R889" s="31">
        <v>0</v>
      </c>
      <c r="S889" s="31">
        <v>0</v>
      </c>
      <c r="T889" s="31" t="s">
        <v>46</v>
      </c>
      <c r="U889" s="31" t="s">
        <v>46</v>
      </c>
    </row>
    <row r="890" spans="1:21" x14ac:dyDescent="0.2">
      <c r="A890" s="31">
        <v>1.3884166383316332</v>
      </c>
      <c r="B890" s="46" t="s">
        <v>1108</v>
      </c>
      <c r="C890" s="32">
        <v>0</v>
      </c>
      <c r="D890" s="32">
        <v>1</v>
      </c>
      <c r="E890" s="31">
        <v>0.50000000052480864</v>
      </c>
      <c r="F890" s="31">
        <v>0</v>
      </c>
      <c r="G890" s="31">
        <v>0</v>
      </c>
      <c r="H890" s="31">
        <v>0</v>
      </c>
      <c r="I890" s="48">
        <v>0</v>
      </c>
      <c r="J890" s="47" t="s">
        <v>1109</v>
      </c>
      <c r="K890" s="32">
        <v>0</v>
      </c>
      <c r="L890" s="32">
        <v>1</v>
      </c>
      <c r="M890" s="31">
        <v>-0.50000000052480864</v>
      </c>
      <c r="N890" s="31">
        <v>0</v>
      </c>
      <c r="O890" s="31">
        <v>0</v>
      </c>
      <c r="P890" s="31">
        <v>0</v>
      </c>
      <c r="Q890" s="31">
        <v>0</v>
      </c>
      <c r="R890" s="31">
        <v>0</v>
      </c>
      <c r="S890" s="31">
        <v>0</v>
      </c>
      <c r="T890" s="31" t="s">
        <v>46</v>
      </c>
      <c r="U890" s="31" t="s">
        <v>46</v>
      </c>
    </row>
    <row r="891" spans="1:21" x14ac:dyDescent="0.2">
      <c r="A891" s="31">
        <v>1.4167516717669726</v>
      </c>
      <c r="B891" s="46" t="s">
        <v>1110</v>
      </c>
      <c r="C891" s="32">
        <v>0</v>
      </c>
      <c r="D891" s="32">
        <v>1</v>
      </c>
      <c r="E891" s="31">
        <v>0.50000000052480864</v>
      </c>
      <c r="F891" s="31">
        <v>0</v>
      </c>
      <c r="G891" s="31">
        <v>0</v>
      </c>
      <c r="H891" s="31">
        <v>0</v>
      </c>
      <c r="I891" s="48">
        <v>0</v>
      </c>
      <c r="J891" s="47" t="s">
        <v>1111</v>
      </c>
      <c r="K891" s="32">
        <v>0</v>
      </c>
      <c r="L891" s="32">
        <v>1</v>
      </c>
      <c r="M891" s="31">
        <v>-0.50000000052480864</v>
      </c>
      <c r="N891" s="31">
        <v>0</v>
      </c>
      <c r="O891" s="31">
        <v>0</v>
      </c>
      <c r="P891" s="31">
        <v>0</v>
      </c>
      <c r="Q891" s="31">
        <v>0</v>
      </c>
      <c r="R891" s="31">
        <v>0</v>
      </c>
      <c r="S891" s="31">
        <v>0</v>
      </c>
      <c r="T891" s="31" t="s">
        <v>46</v>
      </c>
      <c r="U891" s="31" t="s">
        <v>46</v>
      </c>
    </row>
    <row r="892" spans="1:21" x14ac:dyDescent="0.2">
      <c r="A892" s="31">
        <v>1.445086705202312</v>
      </c>
      <c r="B892" s="46" t="s">
        <v>1112</v>
      </c>
      <c r="C892" s="32">
        <v>0</v>
      </c>
      <c r="D892" s="32">
        <v>1</v>
      </c>
      <c r="E892" s="31">
        <v>0.50000000052480864</v>
      </c>
      <c r="F892" s="31">
        <v>0</v>
      </c>
      <c r="G892" s="31">
        <v>0</v>
      </c>
      <c r="H892" s="31">
        <v>0</v>
      </c>
      <c r="I892" s="48">
        <v>0</v>
      </c>
      <c r="J892" s="47" t="s">
        <v>1113</v>
      </c>
      <c r="K892" s="32">
        <v>0</v>
      </c>
      <c r="L892" s="32">
        <v>1</v>
      </c>
      <c r="M892" s="31">
        <v>-0.50000000052480864</v>
      </c>
      <c r="N892" s="31">
        <v>0</v>
      </c>
      <c r="O892" s="31">
        <v>0</v>
      </c>
      <c r="P892" s="31">
        <v>0</v>
      </c>
      <c r="Q892" s="31">
        <v>0</v>
      </c>
      <c r="R892" s="31">
        <v>0</v>
      </c>
      <c r="S892" s="31">
        <v>0</v>
      </c>
      <c r="T892" s="31" t="s">
        <v>46</v>
      </c>
      <c r="U892" s="31" t="s">
        <v>46</v>
      </c>
    </row>
    <row r="893" spans="1:21" x14ac:dyDescent="0.2">
      <c r="A893" s="31">
        <v>1.4734217386376516</v>
      </c>
      <c r="B893" s="46" t="s">
        <v>1114</v>
      </c>
      <c r="C893" s="32">
        <v>0</v>
      </c>
      <c r="D893" s="32">
        <v>1</v>
      </c>
      <c r="E893" s="31">
        <v>0.50000000052480864</v>
      </c>
      <c r="F893" s="31">
        <v>0</v>
      </c>
      <c r="G893" s="31">
        <v>0</v>
      </c>
      <c r="H893" s="31">
        <v>0</v>
      </c>
      <c r="I893" s="48">
        <v>0</v>
      </c>
      <c r="J893" s="47" t="s">
        <v>1115</v>
      </c>
      <c r="K893" s="32">
        <v>0</v>
      </c>
      <c r="L893" s="32">
        <v>1</v>
      </c>
      <c r="M893" s="31">
        <v>-0.50000000052480864</v>
      </c>
      <c r="N893" s="31">
        <v>0</v>
      </c>
      <c r="O893" s="31">
        <v>0</v>
      </c>
      <c r="P893" s="31">
        <v>0</v>
      </c>
      <c r="Q893" s="31">
        <v>0</v>
      </c>
      <c r="R893" s="31">
        <v>0</v>
      </c>
      <c r="S893" s="31">
        <v>0</v>
      </c>
      <c r="T893" s="31" t="s">
        <v>46</v>
      </c>
      <c r="U893" s="31" t="s">
        <v>46</v>
      </c>
    </row>
    <row r="894" spans="1:21" x14ac:dyDescent="0.2">
      <c r="A894" s="31">
        <v>1.501756772072991</v>
      </c>
      <c r="B894" s="46" t="s">
        <v>1116</v>
      </c>
      <c r="C894" s="32">
        <v>0</v>
      </c>
      <c r="D894" s="32">
        <v>1</v>
      </c>
      <c r="E894" s="31">
        <v>0.50000000052480864</v>
      </c>
      <c r="F894" s="31">
        <v>0</v>
      </c>
      <c r="G894" s="31">
        <v>0</v>
      </c>
      <c r="H894" s="31">
        <v>0</v>
      </c>
      <c r="I894" s="48">
        <v>0</v>
      </c>
      <c r="J894" s="47" t="s">
        <v>1117</v>
      </c>
      <c r="K894" s="32">
        <v>0</v>
      </c>
      <c r="L894" s="32">
        <v>1</v>
      </c>
      <c r="M894" s="31">
        <v>-0.50000000052480864</v>
      </c>
      <c r="N894" s="31">
        <v>0</v>
      </c>
      <c r="O894" s="31">
        <v>0</v>
      </c>
      <c r="P894" s="31">
        <v>0</v>
      </c>
      <c r="Q894" s="31">
        <v>0</v>
      </c>
      <c r="R894" s="31">
        <v>0</v>
      </c>
      <c r="S894" s="31">
        <v>0</v>
      </c>
      <c r="T894" s="31" t="s">
        <v>46</v>
      </c>
      <c r="U894" s="31" t="s">
        <v>46</v>
      </c>
    </row>
    <row r="895" spans="1:21" x14ac:dyDescent="0.2">
      <c r="A895" s="31">
        <v>1.5300918055083303</v>
      </c>
      <c r="B895" s="46" t="s">
        <v>1118</v>
      </c>
      <c r="C895" s="32">
        <v>0</v>
      </c>
      <c r="D895" s="32">
        <v>1</v>
      </c>
      <c r="E895" s="31">
        <v>0.50000000052480864</v>
      </c>
      <c r="F895" s="31">
        <v>0</v>
      </c>
      <c r="G895" s="31">
        <v>0</v>
      </c>
      <c r="H895" s="31">
        <v>0</v>
      </c>
      <c r="I895" s="48">
        <v>0</v>
      </c>
      <c r="J895" s="47" t="s">
        <v>1119</v>
      </c>
      <c r="K895" s="32">
        <v>0</v>
      </c>
      <c r="L895" s="32">
        <v>1</v>
      </c>
      <c r="M895" s="31">
        <v>-0.50000000052480864</v>
      </c>
      <c r="N895" s="31">
        <v>0</v>
      </c>
      <c r="O895" s="31">
        <v>0</v>
      </c>
      <c r="P895" s="31">
        <v>0</v>
      </c>
      <c r="Q895" s="31">
        <v>0</v>
      </c>
      <c r="R895" s="31">
        <v>0</v>
      </c>
      <c r="S895" s="31">
        <v>0</v>
      </c>
      <c r="T895" s="31" t="s">
        <v>46</v>
      </c>
      <c r="U895" s="31" t="s">
        <v>46</v>
      </c>
    </row>
    <row r="896" spans="1:21" x14ac:dyDescent="0.2">
      <c r="A896" s="31">
        <v>1.55842683894367</v>
      </c>
      <c r="B896" s="46" t="s">
        <v>1120</v>
      </c>
      <c r="C896" s="32">
        <v>0</v>
      </c>
      <c r="D896" s="32">
        <v>1</v>
      </c>
      <c r="E896" s="31">
        <v>0.50000000052480864</v>
      </c>
      <c r="F896" s="31">
        <v>0</v>
      </c>
      <c r="G896" s="31">
        <v>0</v>
      </c>
      <c r="H896" s="31">
        <v>0</v>
      </c>
      <c r="I896" s="48">
        <v>0</v>
      </c>
      <c r="J896" s="47" t="s">
        <v>1121</v>
      </c>
      <c r="K896" s="32">
        <v>0</v>
      </c>
      <c r="L896" s="32">
        <v>1</v>
      </c>
      <c r="M896" s="31">
        <v>-0.50000000052480864</v>
      </c>
      <c r="N896" s="31">
        <v>0</v>
      </c>
      <c r="O896" s="31">
        <v>0</v>
      </c>
      <c r="P896" s="31">
        <v>0</v>
      </c>
      <c r="Q896" s="31">
        <v>0</v>
      </c>
      <c r="R896" s="31">
        <v>0</v>
      </c>
      <c r="S896" s="31">
        <v>0</v>
      </c>
      <c r="T896" s="31" t="s">
        <v>46</v>
      </c>
      <c r="U896" s="31" t="s">
        <v>46</v>
      </c>
    </row>
    <row r="897" spans="1:21" x14ac:dyDescent="0.2">
      <c r="A897" s="31">
        <v>1.5867618723790093</v>
      </c>
      <c r="B897" s="46" t="s">
        <v>1122</v>
      </c>
      <c r="C897" s="32">
        <v>0</v>
      </c>
      <c r="D897" s="32">
        <v>1</v>
      </c>
      <c r="E897" s="31">
        <v>0.50000000052480864</v>
      </c>
      <c r="F897" s="31">
        <v>0</v>
      </c>
      <c r="G897" s="31">
        <v>0</v>
      </c>
      <c r="H897" s="31">
        <v>0</v>
      </c>
      <c r="I897" s="48">
        <v>0</v>
      </c>
      <c r="J897" s="47" t="s">
        <v>1123</v>
      </c>
      <c r="K897" s="32">
        <v>0</v>
      </c>
      <c r="L897" s="32">
        <v>1</v>
      </c>
      <c r="M897" s="31">
        <v>-0.50000000052480864</v>
      </c>
      <c r="N897" s="31">
        <v>0</v>
      </c>
      <c r="O897" s="31">
        <v>0</v>
      </c>
      <c r="P897" s="31">
        <v>0</v>
      </c>
      <c r="Q897" s="31">
        <v>0</v>
      </c>
      <c r="R897" s="31">
        <v>0</v>
      </c>
      <c r="S897" s="31">
        <v>0</v>
      </c>
      <c r="T897" s="31" t="s">
        <v>46</v>
      </c>
      <c r="U897" s="31" t="s">
        <v>46</v>
      </c>
    </row>
    <row r="898" spans="1:21" x14ac:dyDescent="0.2">
      <c r="A898" s="31">
        <v>1.6150969058143487</v>
      </c>
      <c r="B898" s="46" t="s">
        <v>1124</v>
      </c>
      <c r="C898" s="32">
        <v>0</v>
      </c>
      <c r="D898" s="32">
        <v>1</v>
      </c>
      <c r="E898" s="31">
        <v>0.50000000052480864</v>
      </c>
      <c r="F898" s="31">
        <v>0</v>
      </c>
      <c r="G898" s="31">
        <v>0</v>
      </c>
      <c r="H898" s="31">
        <v>0</v>
      </c>
      <c r="I898" s="48">
        <v>0</v>
      </c>
      <c r="J898" s="47" t="s">
        <v>1125</v>
      </c>
      <c r="K898" s="32">
        <v>0</v>
      </c>
      <c r="L898" s="32">
        <v>1</v>
      </c>
      <c r="M898" s="31">
        <v>-0.50000000052480864</v>
      </c>
      <c r="N898" s="31">
        <v>0</v>
      </c>
      <c r="O898" s="31">
        <v>0</v>
      </c>
      <c r="P898" s="31">
        <v>0</v>
      </c>
      <c r="Q898" s="31">
        <v>0</v>
      </c>
      <c r="R898" s="31">
        <v>0</v>
      </c>
      <c r="S898" s="31">
        <v>0</v>
      </c>
      <c r="T898" s="31" t="s">
        <v>46</v>
      </c>
      <c r="U898" s="31" t="s">
        <v>46</v>
      </c>
    </row>
    <row r="899" spans="1:21" x14ac:dyDescent="0.2">
      <c r="B899" s="46"/>
      <c r="I899" s="48"/>
      <c r="J899" s="47"/>
    </row>
    <row r="900" spans="1:21" x14ac:dyDescent="0.2">
      <c r="B900" s="46"/>
      <c r="I900" s="48"/>
      <c r="J900" s="47"/>
    </row>
    <row r="901" spans="1:21" x14ac:dyDescent="0.2">
      <c r="B901" s="46"/>
      <c r="I901" s="48"/>
      <c r="J901" s="47"/>
    </row>
    <row r="902" spans="1:21" x14ac:dyDescent="0.2">
      <c r="B902" s="46"/>
      <c r="I902" s="48"/>
      <c r="J902" s="47"/>
    </row>
    <row r="903" spans="1:21" x14ac:dyDescent="0.2">
      <c r="B903" s="46"/>
      <c r="I903" s="48"/>
      <c r="J903" s="47"/>
    </row>
    <row r="904" spans="1:21" x14ac:dyDescent="0.2">
      <c r="B904" s="46"/>
      <c r="I904" s="48"/>
      <c r="J904" s="47"/>
    </row>
    <row r="905" spans="1:21" x14ac:dyDescent="0.2">
      <c r="B905" s="46"/>
      <c r="I905" s="48"/>
      <c r="J905" s="47"/>
    </row>
    <row r="906" spans="1:21" x14ac:dyDescent="0.2">
      <c r="B906" s="46"/>
      <c r="I906" s="48"/>
      <c r="J906" s="47"/>
    </row>
    <row r="907" spans="1:21" x14ac:dyDescent="0.2">
      <c r="B907" s="46"/>
      <c r="I907" s="48"/>
      <c r="J907" s="47"/>
    </row>
    <row r="908" spans="1:21" x14ac:dyDescent="0.2">
      <c r="B908" s="46"/>
      <c r="I908" s="48"/>
      <c r="J908" s="47"/>
    </row>
    <row r="909" spans="1:21" x14ac:dyDescent="0.2">
      <c r="B909" s="46"/>
      <c r="I909" s="48"/>
      <c r="J909" s="47"/>
    </row>
    <row r="910" spans="1:21" x14ac:dyDescent="0.2">
      <c r="B910" s="46"/>
      <c r="I910" s="48"/>
      <c r="J910" s="47"/>
    </row>
    <row r="911" spans="1:21" x14ac:dyDescent="0.2">
      <c r="B911" s="46"/>
      <c r="I911" s="48"/>
      <c r="J911" s="47"/>
    </row>
    <row r="912" spans="1:21" x14ac:dyDescent="0.2">
      <c r="B912" s="46"/>
      <c r="I912" s="48"/>
      <c r="J912" s="47"/>
    </row>
    <row r="913" spans="2:10" x14ac:dyDescent="0.2">
      <c r="B913" s="46"/>
      <c r="I913" s="48"/>
      <c r="J913" s="47"/>
    </row>
    <row r="914" spans="2:10" x14ac:dyDescent="0.2">
      <c r="B914" s="46"/>
      <c r="I914" s="48"/>
      <c r="J914" s="47"/>
    </row>
    <row r="915" spans="2:10" x14ac:dyDescent="0.2">
      <c r="B915" s="46"/>
      <c r="I915" s="48"/>
      <c r="J915" s="47"/>
    </row>
    <row r="916" spans="2:10" x14ac:dyDescent="0.2">
      <c r="B916" s="46"/>
      <c r="I916" s="48"/>
      <c r="J916" s="47"/>
    </row>
    <row r="917" spans="2:10" x14ac:dyDescent="0.2">
      <c r="B917" s="46"/>
      <c r="I917" s="48"/>
      <c r="J917" s="47"/>
    </row>
    <row r="918" spans="2:10" x14ac:dyDescent="0.2">
      <c r="B918" s="46"/>
      <c r="I918" s="48"/>
      <c r="J918" s="47"/>
    </row>
    <row r="919" spans="2:10" x14ac:dyDescent="0.2">
      <c r="B919" s="46"/>
      <c r="I919" s="48"/>
      <c r="J919" s="47"/>
    </row>
    <row r="920" spans="2:10" x14ac:dyDescent="0.2">
      <c r="B920" s="46"/>
      <c r="I920" s="48"/>
      <c r="J920" s="47"/>
    </row>
    <row r="921" spans="2:10" x14ac:dyDescent="0.2">
      <c r="B921" s="46"/>
      <c r="I921" s="48"/>
      <c r="J921" s="47"/>
    </row>
    <row r="922" spans="2:10" x14ac:dyDescent="0.2">
      <c r="B922" s="46"/>
      <c r="I922" s="48"/>
      <c r="J922" s="47"/>
    </row>
    <row r="923" spans="2:10" x14ac:dyDescent="0.2">
      <c r="B923" s="46"/>
      <c r="I923" s="48"/>
      <c r="J923" s="47"/>
    </row>
    <row r="924" spans="2:10" x14ac:dyDescent="0.2">
      <c r="B924" s="46"/>
      <c r="J924" s="47"/>
    </row>
    <row r="925" spans="2:10" x14ac:dyDescent="0.2">
      <c r="B925" s="46"/>
      <c r="J925" s="47"/>
    </row>
    <row r="926" spans="2:10" x14ac:dyDescent="0.2">
      <c r="B926" s="46"/>
      <c r="J926" s="47"/>
    </row>
    <row r="927" spans="2:10" x14ac:dyDescent="0.2">
      <c r="B927" s="46"/>
      <c r="J927" s="47"/>
    </row>
    <row r="928" spans="2:10" x14ac:dyDescent="0.2">
      <c r="B928" s="46"/>
      <c r="J928" s="47"/>
    </row>
    <row r="929" spans="2:10" x14ac:dyDescent="0.2">
      <c r="B929" s="46"/>
      <c r="J929" s="47"/>
    </row>
    <row r="930" spans="2:10" x14ac:dyDescent="0.2">
      <c r="B930" s="46"/>
      <c r="J930" s="47"/>
    </row>
    <row r="931" spans="2:10" x14ac:dyDescent="0.2">
      <c r="B931" s="46"/>
      <c r="J931" s="47"/>
    </row>
    <row r="932" spans="2:10" x14ac:dyDescent="0.2">
      <c r="B932" s="46"/>
      <c r="J932" s="47"/>
    </row>
    <row r="933" spans="2:10" x14ac:dyDescent="0.2">
      <c r="B933" s="46"/>
      <c r="J933" s="47"/>
    </row>
    <row r="934" spans="2:10" x14ac:dyDescent="0.2">
      <c r="B934" s="46"/>
      <c r="J934" s="47"/>
    </row>
    <row r="935" spans="2:10" x14ac:dyDescent="0.2">
      <c r="B935" s="46"/>
      <c r="J935" s="47"/>
    </row>
    <row r="936" spans="2:10" x14ac:dyDescent="0.2">
      <c r="B936" s="46"/>
      <c r="J936" s="47"/>
    </row>
    <row r="937" spans="2:10" x14ac:dyDescent="0.2">
      <c r="B937" s="46"/>
      <c r="J937" s="47"/>
    </row>
    <row r="938" spans="2:10" x14ac:dyDescent="0.2">
      <c r="B938" s="46"/>
      <c r="J938" s="47"/>
    </row>
    <row r="939" spans="2:10" x14ac:dyDescent="0.2">
      <c r="B939" s="46"/>
      <c r="J939" s="47"/>
    </row>
    <row r="940" spans="2:10" x14ac:dyDescent="0.2">
      <c r="B940" s="46"/>
      <c r="J940" s="47"/>
    </row>
    <row r="941" spans="2:10" x14ac:dyDescent="0.2">
      <c r="B941" s="46"/>
      <c r="J941" s="47"/>
    </row>
    <row r="942" spans="2:10" x14ac:dyDescent="0.2">
      <c r="B942" s="46"/>
      <c r="J942" s="47"/>
    </row>
    <row r="943" spans="2:10" x14ac:dyDescent="0.2">
      <c r="B943" s="46"/>
      <c r="J943" s="47"/>
    </row>
    <row r="944" spans="2:10" x14ac:dyDescent="0.2">
      <c r="B944" s="46"/>
      <c r="J944" s="47"/>
    </row>
    <row r="945" spans="2:10" x14ac:dyDescent="0.2">
      <c r="B945" s="46"/>
      <c r="J945" s="47"/>
    </row>
    <row r="946" spans="2:10" x14ac:dyDescent="0.2">
      <c r="B946" s="46"/>
      <c r="J946" s="47"/>
    </row>
    <row r="947" spans="2:10" x14ac:dyDescent="0.2">
      <c r="B947" s="46"/>
      <c r="J947" s="47"/>
    </row>
    <row r="948" spans="2:10" x14ac:dyDescent="0.2">
      <c r="B948" s="46"/>
      <c r="J948" s="47"/>
    </row>
    <row r="949" spans="2:10" x14ac:dyDescent="0.2">
      <c r="B949" s="46"/>
      <c r="J949" s="47"/>
    </row>
    <row r="950" spans="2:10" x14ac:dyDescent="0.2">
      <c r="B950" s="46"/>
      <c r="J950" s="47"/>
    </row>
    <row r="951" spans="2:10" x14ac:dyDescent="0.2">
      <c r="B951" s="46"/>
      <c r="J951" s="47"/>
    </row>
    <row r="952" spans="2:10" x14ac:dyDescent="0.2">
      <c r="B952" s="46"/>
      <c r="J952" s="47"/>
    </row>
    <row r="953" spans="2:10" x14ac:dyDescent="0.2">
      <c r="B953" s="46"/>
      <c r="J953" s="47"/>
    </row>
    <row r="954" spans="2:10" x14ac:dyDescent="0.2">
      <c r="B954" s="46"/>
      <c r="J954" s="47"/>
    </row>
    <row r="955" spans="2:10" x14ac:dyDescent="0.2">
      <c r="B955" s="46"/>
      <c r="J955" s="47"/>
    </row>
    <row r="956" spans="2:10" x14ac:dyDescent="0.2">
      <c r="B956" s="46"/>
      <c r="J956" s="47"/>
    </row>
    <row r="957" spans="2:10" x14ac:dyDescent="0.2">
      <c r="B957" s="46"/>
      <c r="J957" s="47"/>
    </row>
    <row r="958" spans="2:10" x14ac:dyDescent="0.2">
      <c r="B958" s="46"/>
      <c r="J958" s="47"/>
    </row>
    <row r="959" spans="2:10" x14ac:dyDescent="0.2">
      <c r="B959" s="46"/>
      <c r="J959" s="47"/>
    </row>
    <row r="960" spans="2:10" x14ac:dyDescent="0.2">
      <c r="B960" s="46"/>
      <c r="J960" s="47"/>
    </row>
    <row r="961" spans="2:10" x14ac:dyDescent="0.2">
      <c r="B961" s="46"/>
      <c r="J961" s="47"/>
    </row>
    <row r="962" spans="2:10" x14ac:dyDescent="0.2">
      <c r="B962" s="46"/>
      <c r="J962" s="47"/>
    </row>
    <row r="963" spans="2:10" x14ac:dyDescent="0.2">
      <c r="B963" s="46"/>
      <c r="J963" s="47"/>
    </row>
    <row r="964" spans="2:10" x14ac:dyDescent="0.2">
      <c r="B964" s="46"/>
      <c r="J964" s="47"/>
    </row>
    <row r="965" spans="2:10" x14ac:dyDescent="0.2">
      <c r="B965" s="46"/>
      <c r="J965" s="47"/>
    </row>
    <row r="966" spans="2:10" x14ac:dyDescent="0.2">
      <c r="B966" s="46"/>
      <c r="J966" s="47"/>
    </row>
    <row r="967" spans="2:10" x14ac:dyDescent="0.2">
      <c r="B967" s="46"/>
      <c r="J967" s="47"/>
    </row>
    <row r="968" spans="2:10" x14ac:dyDescent="0.2">
      <c r="B968" s="46"/>
      <c r="J968" s="47"/>
    </row>
    <row r="969" spans="2:10" x14ac:dyDescent="0.2">
      <c r="B969" s="46"/>
      <c r="J969" s="47"/>
    </row>
    <row r="970" spans="2:10" x14ac:dyDescent="0.2">
      <c r="B970" s="46"/>
      <c r="J970" s="47"/>
    </row>
    <row r="971" spans="2:10" x14ac:dyDescent="0.2">
      <c r="B971" s="46"/>
      <c r="J971" s="47"/>
    </row>
    <row r="972" spans="2:10" x14ac:dyDescent="0.2">
      <c r="B972" s="46"/>
      <c r="J972" s="47"/>
    </row>
    <row r="973" spans="2:10" x14ac:dyDescent="0.2">
      <c r="B973" s="46"/>
      <c r="J973" s="47"/>
    </row>
    <row r="974" spans="2:10" x14ac:dyDescent="0.2">
      <c r="B974" s="46"/>
      <c r="J974" s="47"/>
    </row>
    <row r="975" spans="2:10" x14ac:dyDescent="0.2">
      <c r="B975" s="46"/>
      <c r="J975" s="47"/>
    </row>
    <row r="976" spans="2:10" x14ac:dyDescent="0.2">
      <c r="B976" s="46"/>
      <c r="J976" s="47"/>
    </row>
    <row r="977" spans="2:10" x14ac:dyDescent="0.2">
      <c r="B977" s="46"/>
      <c r="J977" s="47"/>
    </row>
    <row r="978" spans="2:10" x14ac:dyDescent="0.2">
      <c r="B978" s="46"/>
      <c r="J978" s="47"/>
    </row>
    <row r="979" spans="2:10" x14ac:dyDescent="0.2">
      <c r="B979" s="46"/>
      <c r="J979" s="47"/>
    </row>
    <row r="980" spans="2:10" x14ac:dyDescent="0.2">
      <c r="B980" s="46"/>
      <c r="J980" s="47"/>
    </row>
    <row r="981" spans="2:10" x14ac:dyDescent="0.2">
      <c r="B981" s="46"/>
      <c r="J981" s="47"/>
    </row>
    <row r="982" spans="2:10" x14ac:dyDescent="0.2">
      <c r="B982" s="46"/>
      <c r="J982" s="47"/>
    </row>
    <row r="983" spans="2:10" x14ac:dyDescent="0.2">
      <c r="B983" s="46"/>
      <c r="J983" s="47"/>
    </row>
    <row r="984" spans="2:10" x14ac:dyDescent="0.2">
      <c r="B984" s="46"/>
      <c r="J984" s="47"/>
    </row>
    <row r="985" spans="2:10" x14ac:dyDescent="0.2">
      <c r="B985" s="46"/>
      <c r="J985" s="47"/>
    </row>
    <row r="986" spans="2:10" x14ac:dyDescent="0.2">
      <c r="B986" s="46"/>
      <c r="J986" s="47"/>
    </row>
    <row r="987" spans="2:10" x14ac:dyDescent="0.2">
      <c r="B987" s="46"/>
      <c r="J987" s="47"/>
    </row>
    <row r="988" spans="2:10" x14ac:dyDescent="0.2">
      <c r="B988" s="46"/>
      <c r="J988" s="47"/>
    </row>
    <row r="989" spans="2:10" x14ac:dyDescent="0.2">
      <c r="B989" s="46"/>
      <c r="I989" s="48"/>
      <c r="J989" s="48"/>
    </row>
    <row r="990" spans="2:10" x14ac:dyDescent="0.2">
      <c r="B990" s="46"/>
      <c r="I990" s="48"/>
      <c r="J990" s="48"/>
    </row>
    <row r="991" spans="2:10" x14ac:dyDescent="0.2">
      <c r="B991" s="46"/>
      <c r="I991" s="48"/>
      <c r="J991" s="48"/>
    </row>
    <row r="992" spans="2:10" x14ac:dyDescent="0.2">
      <c r="B992" s="46"/>
      <c r="I992" s="48"/>
      <c r="J992" s="48"/>
    </row>
    <row r="993" spans="2:10" x14ac:dyDescent="0.2">
      <c r="B993" s="46"/>
      <c r="I993" s="48"/>
      <c r="J993" s="48"/>
    </row>
    <row r="994" spans="2:10" x14ac:dyDescent="0.2">
      <c r="B994" s="46"/>
      <c r="I994" s="48"/>
      <c r="J994" s="48"/>
    </row>
    <row r="995" spans="2:10" x14ac:dyDescent="0.2">
      <c r="B995" s="47"/>
      <c r="J995" s="47"/>
    </row>
    <row r="996" spans="2:10" x14ac:dyDescent="0.2">
      <c r="B996" s="46"/>
      <c r="J996" s="47"/>
    </row>
    <row r="997" spans="2:10" x14ac:dyDescent="0.2">
      <c r="B997" s="47"/>
      <c r="J997" s="47"/>
    </row>
    <row r="998" spans="2:10" x14ac:dyDescent="0.2">
      <c r="B998" s="46"/>
      <c r="J998" s="47"/>
    </row>
    <row r="999" spans="2:10" x14ac:dyDescent="0.2">
      <c r="B999" s="46"/>
      <c r="J999" s="47"/>
    </row>
    <row r="1000" spans="2:10" x14ac:dyDescent="0.2">
      <c r="B1000" s="46"/>
      <c r="J1000" s="47"/>
    </row>
    <row r="1001" spans="2:10" x14ac:dyDescent="0.2">
      <c r="B1001" s="46"/>
      <c r="J1001" s="47"/>
    </row>
    <row r="1002" spans="2:10" x14ac:dyDescent="0.2">
      <c r="B1002" s="46"/>
      <c r="J1002" s="47"/>
    </row>
    <row r="1003" spans="2:10" x14ac:dyDescent="0.2">
      <c r="B1003" s="46"/>
      <c r="J1003" s="47"/>
    </row>
    <row r="1004" spans="2:10" x14ac:dyDescent="0.2">
      <c r="B1004" s="46"/>
      <c r="J1004" s="47"/>
    </row>
    <row r="1005" spans="2:10" x14ac:dyDescent="0.2">
      <c r="B1005" s="46"/>
      <c r="J1005" s="47"/>
    </row>
    <row r="1006" spans="2:10" x14ac:dyDescent="0.2">
      <c r="B1006" s="46"/>
      <c r="J1006" s="47"/>
    </row>
    <row r="1007" spans="2:10" x14ac:dyDescent="0.2">
      <c r="B1007" s="46"/>
      <c r="J1007" s="47"/>
    </row>
    <row r="1008" spans="2:10" x14ac:dyDescent="0.2">
      <c r="B1008" s="46"/>
      <c r="J1008" s="47"/>
    </row>
    <row r="1009" spans="2:10" x14ac:dyDescent="0.2">
      <c r="B1009" s="46"/>
      <c r="J1009" s="47"/>
    </row>
    <row r="1010" spans="2:10" x14ac:dyDescent="0.2">
      <c r="B1010" s="46"/>
      <c r="J1010" s="47"/>
    </row>
    <row r="1011" spans="2:10" x14ac:dyDescent="0.2">
      <c r="B1011" s="46"/>
      <c r="J1011" s="47"/>
    </row>
    <row r="1012" spans="2:10" x14ac:dyDescent="0.2">
      <c r="B1012" s="46"/>
      <c r="J1012" s="47"/>
    </row>
    <row r="1013" spans="2:10" x14ac:dyDescent="0.2">
      <c r="B1013" s="46"/>
      <c r="I1013" s="48"/>
      <c r="J1013" s="47"/>
    </row>
    <row r="1014" spans="2:10" x14ac:dyDescent="0.2">
      <c r="B1014" s="46"/>
      <c r="I1014" s="48"/>
      <c r="J1014" s="47"/>
    </row>
    <row r="1015" spans="2:10" x14ac:dyDescent="0.2">
      <c r="B1015" s="46"/>
      <c r="I1015" s="48"/>
      <c r="J1015" s="47"/>
    </row>
    <row r="1016" spans="2:10" x14ac:dyDescent="0.2">
      <c r="B1016" s="46"/>
      <c r="I1016" s="48"/>
      <c r="J1016" s="47"/>
    </row>
    <row r="1017" spans="2:10" x14ac:dyDescent="0.2">
      <c r="B1017" s="46"/>
      <c r="I1017" s="48"/>
      <c r="J1017" s="47"/>
    </row>
    <row r="1018" spans="2:10" x14ac:dyDescent="0.2">
      <c r="B1018" s="46"/>
      <c r="I1018" s="48"/>
      <c r="J1018" s="47"/>
    </row>
    <row r="1019" spans="2:10" x14ac:dyDescent="0.2">
      <c r="B1019" s="46"/>
      <c r="I1019" s="48"/>
      <c r="J1019" s="47"/>
    </row>
    <row r="1020" spans="2:10" x14ac:dyDescent="0.2">
      <c r="B1020" s="46"/>
      <c r="I1020" s="48"/>
      <c r="J1020" s="47"/>
    </row>
    <row r="1021" spans="2:10" x14ac:dyDescent="0.2">
      <c r="B1021" s="46"/>
      <c r="I1021" s="48"/>
      <c r="J1021" s="47"/>
    </row>
    <row r="1022" spans="2:10" x14ac:dyDescent="0.2">
      <c r="B1022" s="46"/>
      <c r="I1022" s="48"/>
      <c r="J1022" s="47"/>
    </row>
    <row r="1023" spans="2:10" x14ac:dyDescent="0.2">
      <c r="B1023" s="46"/>
      <c r="I1023" s="48"/>
      <c r="J1023" s="47"/>
    </row>
    <row r="1024" spans="2:10" x14ac:dyDescent="0.2">
      <c r="B1024" s="46"/>
      <c r="I1024" s="48"/>
      <c r="J1024" s="47"/>
    </row>
    <row r="1025" spans="2:10" x14ac:dyDescent="0.2">
      <c r="B1025" s="46"/>
      <c r="I1025" s="48"/>
      <c r="J1025" s="47"/>
    </row>
    <row r="1026" spans="2:10" x14ac:dyDescent="0.2">
      <c r="B1026" s="46"/>
      <c r="I1026" s="48"/>
      <c r="J1026" s="47"/>
    </row>
    <row r="1027" spans="2:10" x14ac:dyDescent="0.2">
      <c r="B1027" s="46"/>
      <c r="I1027" s="48"/>
      <c r="J1027" s="47"/>
    </row>
    <row r="1028" spans="2:10" x14ac:dyDescent="0.2">
      <c r="B1028" s="46"/>
      <c r="I1028" s="48"/>
      <c r="J1028" s="47"/>
    </row>
    <row r="1029" spans="2:10" x14ac:dyDescent="0.2">
      <c r="B1029" s="46"/>
      <c r="I1029" s="48"/>
      <c r="J1029" s="47"/>
    </row>
    <row r="1030" spans="2:10" x14ac:dyDescent="0.2">
      <c r="B1030" s="46"/>
      <c r="I1030" s="48"/>
      <c r="J1030" s="47"/>
    </row>
    <row r="1031" spans="2:10" x14ac:dyDescent="0.2">
      <c r="B1031" s="46"/>
      <c r="I1031" s="48"/>
      <c r="J1031" s="47"/>
    </row>
    <row r="1032" spans="2:10" x14ac:dyDescent="0.2">
      <c r="B1032" s="46"/>
      <c r="I1032" s="48"/>
      <c r="J1032" s="47"/>
    </row>
    <row r="1033" spans="2:10" x14ac:dyDescent="0.2">
      <c r="B1033" s="46"/>
      <c r="I1033" s="48"/>
      <c r="J1033" s="47"/>
    </row>
    <row r="1034" spans="2:10" x14ac:dyDescent="0.2">
      <c r="B1034" s="46"/>
      <c r="I1034" s="48"/>
      <c r="J1034" s="47"/>
    </row>
    <row r="1035" spans="2:10" x14ac:dyDescent="0.2">
      <c r="B1035" s="46"/>
      <c r="I1035" s="48"/>
      <c r="J1035" s="47"/>
    </row>
    <row r="1036" spans="2:10" x14ac:dyDescent="0.2">
      <c r="B1036" s="46"/>
      <c r="I1036" s="48"/>
      <c r="J1036" s="47"/>
    </row>
    <row r="1037" spans="2:10" x14ac:dyDescent="0.2">
      <c r="B1037" s="46"/>
      <c r="I1037" s="48"/>
      <c r="J1037" s="47"/>
    </row>
    <row r="1038" spans="2:10" x14ac:dyDescent="0.2">
      <c r="B1038" s="46"/>
      <c r="I1038" s="48"/>
      <c r="J1038" s="47"/>
    </row>
    <row r="1039" spans="2:10" x14ac:dyDescent="0.2">
      <c r="B1039" s="46"/>
      <c r="I1039" s="48"/>
      <c r="J1039" s="47"/>
    </row>
    <row r="1040" spans="2:10" x14ac:dyDescent="0.2">
      <c r="B1040" s="46"/>
      <c r="I1040" s="48"/>
      <c r="J1040" s="47"/>
    </row>
    <row r="1041" spans="2:10" x14ac:dyDescent="0.2">
      <c r="B1041" s="46"/>
      <c r="I1041" s="48"/>
      <c r="J1041" s="47"/>
    </row>
    <row r="1042" spans="2:10" x14ac:dyDescent="0.2">
      <c r="B1042" s="46"/>
      <c r="I1042" s="48"/>
      <c r="J1042" s="47"/>
    </row>
    <row r="1043" spans="2:10" x14ac:dyDescent="0.2">
      <c r="B1043" s="46"/>
      <c r="I1043" s="48"/>
      <c r="J1043" s="47"/>
    </row>
    <row r="1044" spans="2:10" x14ac:dyDescent="0.2">
      <c r="B1044" s="46"/>
      <c r="I1044" s="48"/>
      <c r="J1044" s="47"/>
    </row>
    <row r="1045" spans="2:10" x14ac:dyDescent="0.2">
      <c r="B1045" s="46"/>
      <c r="I1045" s="48"/>
      <c r="J1045" s="47"/>
    </row>
    <row r="1046" spans="2:10" x14ac:dyDescent="0.2">
      <c r="B1046" s="46"/>
      <c r="I1046" s="48"/>
      <c r="J1046" s="47"/>
    </row>
    <row r="1047" spans="2:10" x14ac:dyDescent="0.2">
      <c r="B1047" s="46"/>
      <c r="I1047" s="48"/>
      <c r="J1047" s="47"/>
    </row>
    <row r="1048" spans="2:10" x14ac:dyDescent="0.2">
      <c r="B1048" s="46"/>
      <c r="I1048" s="48"/>
      <c r="J1048" s="47"/>
    </row>
    <row r="1049" spans="2:10" x14ac:dyDescent="0.2">
      <c r="B1049" s="46"/>
      <c r="I1049" s="48"/>
      <c r="J1049" s="47"/>
    </row>
    <row r="1050" spans="2:10" x14ac:dyDescent="0.2">
      <c r="B1050" s="46"/>
      <c r="I1050" s="48"/>
      <c r="J1050" s="47"/>
    </row>
    <row r="1051" spans="2:10" x14ac:dyDescent="0.2">
      <c r="B1051" s="46"/>
      <c r="I1051" s="48"/>
      <c r="J1051" s="47"/>
    </row>
    <row r="1052" spans="2:10" x14ac:dyDescent="0.2">
      <c r="B1052" s="46"/>
      <c r="J1052" s="47"/>
    </row>
    <row r="1053" spans="2:10" x14ac:dyDescent="0.2">
      <c r="B1053" s="46"/>
      <c r="J1053" s="47"/>
    </row>
    <row r="1054" spans="2:10" x14ac:dyDescent="0.2">
      <c r="B1054" s="46"/>
      <c r="J1054" s="47"/>
    </row>
    <row r="1055" spans="2:10" x14ac:dyDescent="0.2">
      <c r="B1055" s="46"/>
      <c r="J1055" s="47"/>
    </row>
    <row r="1056" spans="2:10" x14ac:dyDescent="0.2">
      <c r="B1056" s="46"/>
      <c r="J1056" s="47"/>
    </row>
    <row r="1057" spans="2:10" x14ac:dyDescent="0.2">
      <c r="B1057" s="46"/>
      <c r="J1057" s="47"/>
    </row>
    <row r="1058" spans="2:10" x14ac:dyDescent="0.2">
      <c r="B1058" s="46"/>
      <c r="J1058" s="47"/>
    </row>
    <row r="1059" spans="2:10" x14ac:dyDescent="0.2">
      <c r="B1059" s="46"/>
      <c r="J1059" s="47"/>
    </row>
    <row r="1060" spans="2:10" x14ac:dyDescent="0.2">
      <c r="B1060" s="46"/>
      <c r="J1060" s="47"/>
    </row>
    <row r="1061" spans="2:10" x14ac:dyDescent="0.2">
      <c r="B1061" s="46"/>
      <c r="J1061" s="47"/>
    </row>
    <row r="1062" spans="2:10" x14ac:dyDescent="0.2">
      <c r="B1062" s="46"/>
      <c r="J1062" s="47"/>
    </row>
    <row r="1063" spans="2:10" x14ac:dyDescent="0.2">
      <c r="B1063" s="46"/>
      <c r="J1063" s="47"/>
    </row>
    <row r="1064" spans="2:10" x14ac:dyDescent="0.2">
      <c r="B1064" s="46"/>
      <c r="J1064" s="47"/>
    </row>
    <row r="1065" spans="2:10" x14ac:dyDescent="0.2">
      <c r="B1065" s="46"/>
      <c r="J1065" s="47"/>
    </row>
    <row r="1066" spans="2:10" x14ac:dyDescent="0.2">
      <c r="B1066" s="46"/>
      <c r="J1066" s="47"/>
    </row>
    <row r="1067" spans="2:10" x14ac:dyDescent="0.2">
      <c r="B1067" s="46"/>
      <c r="I1067" s="48"/>
      <c r="J1067" s="47"/>
    </row>
    <row r="1068" spans="2:10" x14ac:dyDescent="0.2">
      <c r="B1068" s="46"/>
      <c r="I1068" s="48"/>
      <c r="J1068" s="47"/>
    </row>
    <row r="1069" spans="2:10" x14ac:dyDescent="0.2">
      <c r="B1069" s="46"/>
      <c r="I1069" s="48"/>
      <c r="J1069" s="47"/>
    </row>
    <row r="1070" spans="2:10" x14ac:dyDescent="0.2">
      <c r="B1070" s="46"/>
      <c r="I1070" s="48"/>
      <c r="J1070" s="47"/>
    </row>
    <row r="1071" spans="2:10" x14ac:dyDescent="0.2">
      <c r="B1071" s="46"/>
      <c r="I1071" s="48"/>
      <c r="J1071" s="47"/>
    </row>
    <row r="1072" spans="2:10" x14ac:dyDescent="0.2">
      <c r="B1072" s="46"/>
      <c r="I1072" s="48"/>
      <c r="J1072" s="47"/>
    </row>
    <row r="1073" spans="2:10" x14ac:dyDescent="0.2">
      <c r="B1073" s="46"/>
      <c r="I1073" s="48"/>
      <c r="J1073" s="47"/>
    </row>
    <row r="1074" spans="2:10" x14ac:dyDescent="0.2">
      <c r="B1074" s="46"/>
      <c r="I1074" s="48"/>
      <c r="J1074" s="47"/>
    </row>
    <row r="1075" spans="2:10" x14ac:dyDescent="0.2">
      <c r="B1075" s="46"/>
      <c r="I1075" s="48"/>
      <c r="J1075" s="47"/>
    </row>
    <row r="1076" spans="2:10" x14ac:dyDescent="0.2">
      <c r="B1076" s="46"/>
      <c r="I1076" s="48"/>
      <c r="J1076" s="47"/>
    </row>
    <row r="1077" spans="2:10" x14ac:dyDescent="0.2">
      <c r="B1077" s="46"/>
      <c r="I1077" s="48"/>
      <c r="J1077" s="47"/>
    </row>
    <row r="1078" spans="2:10" x14ac:dyDescent="0.2">
      <c r="B1078" s="46"/>
      <c r="I1078" s="48"/>
      <c r="J1078" s="47"/>
    </row>
    <row r="1079" spans="2:10" x14ac:dyDescent="0.2">
      <c r="B1079" s="46"/>
      <c r="I1079" s="48"/>
      <c r="J1079" s="47"/>
    </row>
    <row r="1080" spans="2:10" x14ac:dyDescent="0.2">
      <c r="B1080" s="46"/>
      <c r="I1080" s="48"/>
      <c r="J1080" s="47"/>
    </row>
    <row r="1081" spans="2:10" x14ac:dyDescent="0.2">
      <c r="B1081" s="46"/>
      <c r="I1081" s="48"/>
      <c r="J1081" s="47"/>
    </row>
    <row r="1082" spans="2:10" x14ac:dyDescent="0.2">
      <c r="B1082" s="46"/>
      <c r="I1082" s="48"/>
      <c r="J1082" s="47"/>
    </row>
    <row r="1083" spans="2:10" x14ac:dyDescent="0.2">
      <c r="B1083" s="46"/>
      <c r="I1083" s="48"/>
      <c r="J1083" s="47"/>
    </row>
    <row r="1084" spans="2:10" x14ac:dyDescent="0.2">
      <c r="B1084" s="46"/>
      <c r="I1084" s="48"/>
      <c r="J1084" s="47"/>
    </row>
    <row r="1085" spans="2:10" x14ac:dyDescent="0.2">
      <c r="B1085" s="46"/>
      <c r="I1085" s="48"/>
      <c r="J1085" s="47"/>
    </row>
    <row r="1086" spans="2:10" x14ac:dyDescent="0.2">
      <c r="B1086" s="46"/>
      <c r="I1086" s="48"/>
      <c r="J1086" s="47"/>
    </row>
    <row r="1087" spans="2:10" x14ac:dyDescent="0.2">
      <c r="B1087" s="46"/>
      <c r="I1087" s="48"/>
      <c r="J1087" s="47"/>
    </row>
    <row r="1088" spans="2:10" x14ac:dyDescent="0.2">
      <c r="B1088" s="46"/>
      <c r="I1088" s="48"/>
      <c r="J1088" s="47"/>
    </row>
    <row r="1089" spans="2:10" x14ac:dyDescent="0.2">
      <c r="B1089" s="46"/>
      <c r="I1089" s="48"/>
      <c r="J1089" s="47"/>
    </row>
    <row r="1090" spans="2:10" x14ac:dyDescent="0.2">
      <c r="B1090" s="46"/>
      <c r="I1090" s="48"/>
      <c r="J1090" s="47"/>
    </row>
    <row r="1091" spans="2:10" x14ac:dyDescent="0.2">
      <c r="B1091" s="46"/>
      <c r="I1091" s="48"/>
      <c r="J1091" s="47"/>
    </row>
    <row r="1092" spans="2:10" x14ac:dyDescent="0.2">
      <c r="B1092" s="46"/>
      <c r="I1092" s="48"/>
      <c r="J1092" s="47"/>
    </row>
    <row r="1093" spans="2:10" x14ac:dyDescent="0.2">
      <c r="B1093" s="46"/>
      <c r="I1093" s="48"/>
      <c r="J1093" s="47"/>
    </row>
    <row r="1094" spans="2:10" x14ac:dyDescent="0.2">
      <c r="B1094" s="46"/>
      <c r="I1094" s="48"/>
      <c r="J1094" s="47"/>
    </row>
    <row r="1095" spans="2:10" x14ac:dyDescent="0.2">
      <c r="B1095" s="46"/>
      <c r="I1095" s="48"/>
      <c r="J1095" s="47"/>
    </row>
    <row r="1096" spans="2:10" x14ac:dyDescent="0.2">
      <c r="B1096" s="46"/>
      <c r="I1096" s="48"/>
      <c r="J1096" s="47"/>
    </row>
    <row r="1097" spans="2:10" x14ac:dyDescent="0.2">
      <c r="B1097" s="46"/>
      <c r="I1097" s="48"/>
      <c r="J1097" s="47"/>
    </row>
    <row r="1098" spans="2:10" x14ac:dyDescent="0.2">
      <c r="B1098" s="46"/>
      <c r="I1098" s="48"/>
      <c r="J1098" s="47"/>
    </row>
    <row r="1099" spans="2:10" x14ac:dyDescent="0.2">
      <c r="B1099" s="46"/>
      <c r="I1099" s="48"/>
      <c r="J1099" s="47"/>
    </row>
    <row r="1100" spans="2:10" x14ac:dyDescent="0.2">
      <c r="B1100" s="46"/>
      <c r="I1100" s="48"/>
      <c r="J1100" s="47"/>
    </row>
    <row r="1101" spans="2:10" x14ac:dyDescent="0.2">
      <c r="B1101" s="46"/>
      <c r="I1101" s="48"/>
      <c r="J1101" s="47"/>
    </row>
    <row r="1102" spans="2:10" x14ac:dyDescent="0.2">
      <c r="B1102" s="46"/>
      <c r="I1102" s="48"/>
      <c r="J1102" s="47"/>
    </row>
    <row r="1103" spans="2:10" x14ac:dyDescent="0.2">
      <c r="B1103" s="46"/>
      <c r="I1103" s="48"/>
      <c r="J1103" s="47"/>
    </row>
    <row r="1104" spans="2:10" x14ac:dyDescent="0.2">
      <c r="B1104" s="46"/>
      <c r="J1104" s="47"/>
    </row>
    <row r="1105" spans="2:10" x14ac:dyDescent="0.2">
      <c r="B1105" s="46"/>
      <c r="J1105" s="47"/>
    </row>
    <row r="1106" spans="2:10" x14ac:dyDescent="0.2">
      <c r="B1106" s="46"/>
      <c r="J1106" s="47"/>
    </row>
    <row r="1107" spans="2:10" x14ac:dyDescent="0.2">
      <c r="B1107" s="46"/>
      <c r="J1107" s="47"/>
    </row>
    <row r="1108" spans="2:10" x14ac:dyDescent="0.2">
      <c r="B1108" s="46"/>
      <c r="J1108" s="47"/>
    </row>
    <row r="1109" spans="2:10" x14ac:dyDescent="0.2">
      <c r="B1109" s="46"/>
      <c r="J1109" s="47"/>
    </row>
    <row r="1110" spans="2:10" x14ac:dyDescent="0.2">
      <c r="B1110" s="46"/>
      <c r="J1110" s="47"/>
    </row>
    <row r="1111" spans="2:10" x14ac:dyDescent="0.2">
      <c r="B1111" s="46"/>
      <c r="J1111" s="47"/>
    </row>
    <row r="1112" spans="2:10" x14ac:dyDescent="0.2">
      <c r="B1112" s="46"/>
      <c r="J1112" s="47"/>
    </row>
    <row r="1113" spans="2:10" x14ac:dyDescent="0.2">
      <c r="B1113" s="46"/>
      <c r="J1113" s="47"/>
    </row>
    <row r="1114" spans="2:10" x14ac:dyDescent="0.2">
      <c r="B1114" s="46"/>
      <c r="J1114" s="47"/>
    </row>
    <row r="1115" spans="2:10" x14ac:dyDescent="0.2">
      <c r="B1115" s="46"/>
      <c r="J1115" s="47"/>
    </row>
    <row r="1116" spans="2:10" x14ac:dyDescent="0.2">
      <c r="B1116" s="46"/>
      <c r="J1116" s="47"/>
    </row>
    <row r="1117" spans="2:10" x14ac:dyDescent="0.2">
      <c r="B1117" s="46"/>
      <c r="J1117" s="47"/>
    </row>
    <row r="1118" spans="2:10" x14ac:dyDescent="0.2">
      <c r="B1118" s="46"/>
      <c r="J1118" s="47"/>
    </row>
    <row r="1119" spans="2:10" x14ac:dyDescent="0.2">
      <c r="B1119" s="46"/>
      <c r="J1119" s="47"/>
    </row>
    <row r="1120" spans="2:10" x14ac:dyDescent="0.2">
      <c r="B1120" s="46"/>
      <c r="J1120" s="47"/>
    </row>
    <row r="1121" spans="2:10" x14ac:dyDescent="0.2">
      <c r="B1121" s="46"/>
      <c r="J1121" s="47"/>
    </row>
    <row r="1122" spans="2:10" x14ac:dyDescent="0.2">
      <c r="B1122" s="46"/>
      <c r="J1122" s="47"/>
    </row>
    <row r="1123" spans="2:10" x14ac:dyDescent="0.2">
      <c r="B1123" s="46"/>
      <c r="J1123" s="47"/>
    </row>
    <row r="1124" spans="2:10" x14ac:dyDescent="0.2">
      <c r="B1124" s="46"/>
      <c r="J1124" s="47"/>
    </row>
    <row r="1125" spans="2:10" x14ac:dyDescent="0.2">
      <c r="B1125" s="46"/>
      <c r="J1125" s="47"/>
    </row>
    <row r="1126" spans="2:10" x14ac:dyDescent="0.2">
      <c r="B1126" s="46"/>
      <c r="J1126" s="47"/>
    </row>
    <row r="1127" spans="2:10" x14ac:dyDescent="0.2">
      <c r="B1127" s="46"/>
      <c r="J1127" s="47"/>
    </row>
    <row r="1128" spans="2:10" x14ac:dyDescent="0.2">
      <c r="B1128" s="46"/>
      <c r="J1128" s="47"/>
    </row>
    <row r="1129" spans="2:10" x14ac:dyDescent="0.2">
      <c r="B1129" s="46"/>
      <c r="J1129" s="47"/>
    </row>
    <row r="1130" spans="2:10" x14ac:dyDescent="0.2">
      <c r="B1130" s="46"/>
      <c r="J1130" s="47"/>
    </row>
    <row r="1131" spans="2:10" x14ac:dyDescent="0.2">
      <c r="B1131" s="46"/>
      <c r="J1131" s="47"/>
    </row>
    <row r="1132" spans="2:10" x14ac:dyDescent="0.2">
      <c r="B1132" s="46"/>
      <c r="J1132" s="47"/>
    </row>
    <row r="1133" spans="2:10" x14ac:dyDescent="0.2">
      <c r="B1133" s="46"/>
      <c r="J1133" s="47"/>
    </row>
    <row r="1134" spans="2:10" x14ac:dyDescent="0.2">
      <c r="B1134" s="46"/>
      <c r="J1134" s="47"/>
    </row>
    <row r="1135" spans="2:10" x14ac:dyDescent="0.2">
      <c r="B1135" s="46"/>
      <c r="J1135" s="47"/>
    </row>
    <row r="1136" spans="2:10" x14ac:dyDescent="0.2">
      <c r="B1136" s="46"/>
      <c r="I1136" s="48"/>
      <c r="J1136" s="47"/>
    </row>
    <row r="1137" spans="2:10" x14ac:dyDescent="0.2">
      <c r="B1137" s="46"/>
      <c r="I1137" s="48"/>
      <c r="J1137" s="47"/>
    </row>
    <row r="1138" spans="2:10" x14ac:dyDescent="0.2">
      <c r="B1138" s="46"/>
      <c r="I1138" s="48"/>
      <c r="J1138" s="47"/>
    </row>
    <row r="1139" spans="2:10" x14ac:dyDescent="0.2">
      <c r="B1139" s="46"/>
      <c r="I1139" s="48"/>
      <c r="J1139" s="47"/>
    </row>
    <row r="1140" spans="2:10" x14ac:dyDescent="0.2">
      <c r="B1140" s="46"/>
      <c r="I1140" s="48"/>
      <c r="J1140" s="47"/>
    </row>
    <row r="1141" spans="2:10" x14ac:dyDescent="0.2">
      <c r="B1141" s="46"/>
      <c r="I1141" s="48"/>
      <c r="J1141" s="47"/>
    </row>
    <row r="1142" spans="2:10" x14ac:dyDescent="0.2">
      <c r="B1142" s="46"/>
      <c r="I1142" s="48"/>
      <c r="J1142" s="47"/>
    </row>
    <row r="1143" spans="2:10" x14ac:dyDescent="0.2">
      <c r="B1143" s="46"/>
      <c r="I1143" s="48"/>
      <c r="J1143" s="47"/>
    </row>
    <row r="1144" spans="2:10" x14ac:dyDescent="0.2">
      <c r="B1144" s="46"/>
      <c r="I1144" s="48"/>
      <c r="J1144" s="47"/>
    </row>
    <row r="1145" spans="2:10" x14ac:dyDescent="0.2">
      <c r="B1145" s="46"/>
      <c r="I1145" s="48"/>
      <c r="J1145" s="47"/>
    </row>
    <row r="1146" spans="2:10" x14ac:dyDescent="0.2">
      <c r="B1146" s="46"/>
      <c r="I1146" s="48"/>
      <c r="J1146" s="47"/>
    </row>
    <row r="1147" spans="2:10" x14ac:dyDescent="0.2">
      <c r="B1147" s="46"/>
      <c r="I1147" s="48"/>
      <c r="J1147" s="47"/>
    </row>
    <row r="1148" spans="2:10" x14ac:dyDescent="0.2">
      <c r="B1148" s="46"/>
      <c r="I1148" s="48"/>
      <c r="J1148" s="47"/>
    </row>
    <row r="1149" spans="2:10" x14ac:dyDescent="0.2">
      <c r="B1149" s="46"/>
      <c r="I1149" s="48"/>
      <c r="J1149" s="47"/>
    </row>
    <row r="1150" spans="2:10" x14ac:dyDescent="0.2">
      <c r="B1150" s="46"/>
      <c r="I1150" s="48"/>
      <c r="J1150" s="47"/>
    </row>
    <row r="1151" spans="2:10" x14ac:dyDescent="0.2">
      <c r="B1151" s="46"/>
      <c r="I1151" s="48"/>
      <c r="J1151" s="47"/>
    </row>
    <row r="1152" spans="2:10" x14ac:dyDescent="0.2">
      <c r="B1152" s="46"/>
      <c r="I1152" s="48"/>
      <c r="J1152" s="47"/>
    </row>
    <row r="1153" spans="2:10" x14ac:dyDescent="0.2">
      <c r="B1153" s="46"/>
      <c r="I1153" s="48"/>
      <c r="J1153" s="47"/>
    </row>
    <row r="1154" spans="2:10" x14ac:dyDescent="0.2">
      <c r="B1154" s="46"/>
      <c r="I1154" s="48"/>
      <c r="J1154" s="47"/>
    </row>
    <row r="1155" spans="2:10" x14ac:dyDescent="0.2">
      <c r="B1155" s="46"/>
      <c r="I1155" s="48"/>
      <c r="J1155" s="47"/>
    </row>
    <row r="1156" spans="2:10" x14ac:dyDescent="0.2">
      <c r="B1156" s="46"/>
      <c r="I1156" s="48"/>
      <c r="J1156" s="47"/>
    </row>
    <row r="1157" spans="2:10" x14ac:dyDescent="0.2">
      <c r="B1157" s="46"/>
      <c r="I1157" s="48"/>
      <c r="J1157" s="47"/>
    </row>
    <row r="1158" spans="2:10" x14ac:dyDescent="0.2">
      <c r="B1158" s="46"/>
      <c r="I1158" s="48"/>
      <c r="J1158" s="47"/>
    </row>
    <row r="1159" spans="2:10" x14ac:dyDescent="0.2">
      <c r="B1159" s="46"/>
      <c r="I1159" s="48"/>
      <c r="J1159" s="47"/>
    </row>
    <row r="1160" spans="2:10" x14ac:dyDescent="0.2">
      <c r="B1160" s="46"/>
      <c r="I1160" s="48"/>
      <c r="J1160" s="47"/>
    </row>
    <row r="1161" spans="2:10" x14ac:dyDescent="0.2">
      <c r="B1161" s="46"/>
      <c r="I1161" s="48"/>
      <c r="J1161" s="47"/>
    </row>
    <row r="1162" spans="2:10" x14ac:dyDescent="0.2">
      <c r="B1162" s="46"/>
      <c r="I1162" s="48"/>
      <c r="J1162" s="47"/>
    </row>
    <row r="1163" spans="2:10" x14ac:dyDescent="0.2">
      <c r="B1163" s="46"/>
      <c r="I1163" s="48"/>
      <c r="J1163" s="47"/>
    </row>
    <row r="1164" spans="2:10" x14ac:dyDescent="0.2">
      <c r="B1164" s="46"/>
      <c r="I1164" s="48"/>
      <c r="J1164" s="47"/>
    </row>
    <row r="1165" spans="2:10" x14ac:dyDescent="0.2">
      <c r="B1165" s="46"/>
      <c r="I1165" s="48"/>
      <c r="J1165" s="47"/>
    </row>
    <row r="1166" spans="2:10" x14ac:dyDescent="0.2">
      <c r="B1166" s="46"/>
      <c r="I1166" s="48"/>
      <c r="J1166" s="47"/>
    </row>
    <row r="1167" spans="2:10" x14ac:dyDescent="0.2">
      <c r="B1167" s="46"/>
      <c r="I1167" s="48"/>
      <c r="J1167" s="47"/>
    </row>
    <row r="1168" spans="2:10" x14ac:dyDescent="0.2">
      <c r="B1168" s="46"/>
      <c r="I1168" s="48"/>
      <c r="J1168" s="47"/>
    </row>
    <row r="1169" spans="2:10" x14ac:dyDescent="0.2">
      <c r="B1169" s="46"/>
      <c r="I1169" s="48"/>
      <c r="J1169" s="47"/>
    </row>
    <row r="1170" spans="2:10" x14ac:dyDescent="0.2">
      <c r="B1170" s="46"/>
      <c r="I1170" s="48"/>
      <c r="J1170" s="47"/>
    </row>
    <row r="1171" spans="2:10" x14ac:dyDescent="0.2">
      <c r="B1171" s="46"/>
      <c r="I1171" s="48"/>
      <c r="J1171" s="47"/>
    </row>
    <row r="1172" spans="2:10" x14ac:dyDescent="0.2">
      <c r="B1172" s="46"/>
      <c r="I1172" s="48"/>
      <c r="J1172" s="47"/>
    </row>
    <row r="1173" spans="2:10" x14ac:dyDescent="0.2">
      <c r="B1173" s="46"/>
      <c r="I1173" s="48"/>
      <c r="J1173" s="47"/>
    </row>
    <row r="1174" spans="2:10" x14ac:dyDescent="0.2">
      <c r="B1174" s="46"/>
      <c r="J1174" s="47"/>
    </row>
    <row r="1175" spans="2:10" x14ac:dyDescent="0.2">
      <c r="B1175" s="46"/>
      <c r="J1175" s="47"/>
    </row>
    <row r="1176" spans="2:10" x14ac:dyDescent="0.2">
      <c r="B1176" s="46"/>
      <c r="J1176" s="47"/>
    </row>
    <row r="1177" spans="2:10" x14ac:dyDescent="0.2">
      <c r="B1177" s="46"/>
      <c r="J1177" s="47"/>
    </row>
    <row r="1178" spans="2:10" x14ac:dyDescent="0.2">
      <c r="B1178" s="46"/>
      <c r="J1178" s="47"/>
    </row>
    <row r="1179" spans="2:10" x14ac:dyDescent="0.2">
      <c r="B1179" s="46"/>
      <c r="J1179" s="47"/>
    </row>
    <row r="1180" spans="2:10" x14ac:dyDescent="0.2">
      <c r="B1180" s="46"/>
      <c r="J1180" s="47"/>
    </row>
    <row r="1181" spans="2:10" x14ac:dyDescent="0.2">
      <c r="B1181" s="46"/>
      <c r="J1181" s="47"/>
    </row>
    <row r="1182" spans="2:10" x14ac:dyDescent="0.2">
      <c r="B1182" s="46"/>
      <c r="J1182" s="47"/>
    </row>
    <row r="1183" spans="2:10" x14ac:dyDescent="0.2">
      <c r="B1183" s="46"/>
      <c r="J1183" s="47"/>
    </row>
    <row r="1184" spans="2:10" x14ac:dyDescent="0.2">
      <c r="B1184" s="46"/>
      <c r="J1184" s="47"/>
    </row>
    <row r="1185" spans="2:10" x14ac:dyDescent="0.2">
      <c r="B1185" s="46"/>
      <c r="J1185" s="47"/>
    </row>
    <row r="1186" spans="2:10" x14ac:dyDescent="0.2">
      <c r="B1186" s="46"/>
      <c r="J1186" s="47"/>
    </row>
    <row r="1187" spans="2:10" x14ac:dyDescent="0.2">
      <c r="B1187" s="46"/>
      <c r="J1187" s="47"/>
    </row>
    <row r="1188" spans="2:10" x14ac:dyDescent="0.2">
      <c r="B1188" s="46"/>
      <c r="I1188" s="48"/>
      <c r="J1188" s="47"/>
    </row>
    <row r="1189" spans="2:10" x14ac:dyDescent="0.2">
      <c r="B1189" s="46"/>
      <c r="I1189" s="48"/>
      <c r="J1189" s="47"/>
    </row>
    <row r="1190" spans="2:10" x14ac:dyDescent="0.2">
      <c r="B1190" s="46"/>
      <c r="I1190" s="48"/>
      <c r="J1190" s="47"/>
    </row>
    <row r="1191" spans="2:10" x14ac:dyDescent="0.2">
      <c r="B1191" s="46"/>
      <c r="I1191" s="48"/>
      <c r="J1191" s="47"/>
    </row>
    <row r="1192" spans="2:10" x14ac:dyDescent="0.2">
      <c r="B1192" s="46"/>
      <c r="I1192" s="48"/>
      <c r="J1192" s="47"/>
    </row>
    <row r="1193" spans="2:10" x14ac:dyDescent="0.2">
      <c r="B1193" s="46"/>
      <c r="I1193" s="48"/>
      <c r="J1193" s="48"/>
    </row>
    <row r="1194" spans="2:10" x14ac:dyDescent="0.2">
      <c r="B1194" s="46"/>
      <c r="I1194" s="48"/>
      <c r="J1194" s="48"/>
    </row>
    <row r="1195" spans="2:10" x14ac:dyDescent="0.2">
      <c r="B1195" s="46"/>
      <c r="I1195" s="48"/>
      <c r="J1195" s="48"/>
    </row>
    <row r="1196" spans="2:10" x14ac:dyDescent="0.2">
      <c r="B1196" s="46"/>
      <c r="I1196" s="48"/>
      <c r="J1196" s="48"/>
    </row>
    <row r="1197" spans="2:10" x14ac:dyDescent="0.2">
      <c r="B1197" s="46"/>
      <c r="I1197" s="48"/>
      <c r="J1197" s="48"/>
    </row>
    <row r="1198" spans="2:10" x14ac:dyDescent="0.2">
      <c r="B1198" s="46"/>
      <c r="I1198" s="48"/>
      <c r="J1198" s="48"/>
    </row>
    <row r="1199" spans="2:10" x14ac:dyDescent="0.2">
      <c r="I1199" s="48"/>
    </row>
    <row r="1200" spans="2:10" x14ac:dyDescent="0.2">
      <c r="I1200" s="48"/>
    </row>
    <row r="1201" spans="9:9" x14ac:dyDescent="0.2">
      <c r="I1201" s="48"/>
    </row>
    <row r="1202" spans="9:9" x14ac:dyDescent="0.2">
      <c r="I1202" s="48"/>
    </row>
    <row r="1203" spans="9:9" x14ac:dyDescent="0.2">
      <c r="I1203" s="48"/>
    </row>
    <row r="1204" spans="9:9" x14ac:dyDescent="0.2">
      <c r="I1204" s="48"/>
    </row>
    <row r="1205" spans="9:9" x14ac:dyDescent="0.2">
      <c r="I1205" s="48"/>
    </row>
    <row r="1206" spans="9:9" x14ac:dyDescent="0.2">
      <c r="I1206" s="48"/>
    </row>
    <row r="1207" spans="9:9" x14ac:dyDescent="0.2">
      <c r="I1207" s="48"/>
    </row>
    <row r="1208" spans="9:9" x14ac:dyDescent="0.2">
      <c r="I1208" s="48"/>
    </row>
    <row r="1209" spans="9:9" x14ac:dyDescent="0.2">
      <c r="I1209" s="48"/>
    </row>
    <row r="1210" spans="9:9" x14ac:dyDescent="0.2">
      <c r="I1210" s="48"/>
    </row>
    <row r="1211" spans="9:9" x14ac:dyDescent="0.2">
      <c r="I1211" s="48"/>
    </row>
    <row r="1212" spans="9:9" x14ac:dyDescent="0.2">
      <c r="I1212" s="48"/>
    </row>
    <row r="1213" spans="9:9" x14ac:dyDescent="0.2">
      <c r="I1213" s="48"/>
    </row>
    <row r="1214" spans="9:9" x14ac:dyDescent="0.2">
      <c r="I1214" s="48"/>
    </row>
    <row r="1215" spans="9:9" x14ac:dyDescent="0.2">
      <c r="I1215" s="48"/>
    </row>
    <row r="1216" spans="9:9" x14ac:dyDescent="0.2">
      <c r="I1216" s="48"/>
    </row>
    <row r="1217" spans="9:9" x14ac:dyDescent="0.2">
      <c r="I1217" s="48"/>
    </row>
    <row r="1218" spans="9:9" x14ac:dyDescent="0.2">
      <c r="I1218" s="48"/>
    </row>
    <row r="1219" spans="9:9" x14ac:dyDescent="0.2">
      <c r="I1219" s="48"/>
    </row>
    <row r="1220" spans="9:9" x14ac:dyDescent="0.2">
      <c r="I1220" s="48"/>
    </row>
    <row r="1221" spans="9:9" x14ac:dyDescent="0.2">
      <c r="I1221" s="48"/>
    </row>
    <row r="1222" spans="9:9" x14ac:dyDescent="0.2">
      <c r="I1222" s="48"/>
    </row>
    <row r="1223" spans="9:9" x14ac:dyDescent="0.2">
      <c r="I1223" s="48"/>
    </row>
    <row r="1224" spans="9:9" x14ac:dyDescent="0.2">
      <c r="I1224" s="48"/>
    </row>
    <row r="1225" spans="9:9" x14ac:dyDescent="0.2">
      <c r="I1225" s="4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Console</vt:lpstr>
      <vt:lpstr>Yahoo</vt:lpstr>
      <vt:lpstr>Analyze</vt:lpstr>
      <vt:lpstr>gsymbol</vt:lpstr>
      <vt:lpstr>symbol</vt:lpstr>
      <vt:lpstr>ticker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Tedi</dc:creator>
  <cp:lastModifiedBy>Jade</cp:lastModifiedBy>
  <dcterms:created xsi:type="dcterms:W3CDTF">2012-02-08T00:30:58Z</dcterms:created>
  <dcterms:modified xsi:type="dcterms:W3CDTF">2016-05-02T01:29:51Z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f1a44ad5-a1bf-41f2-b3e9-98309e4d08a2</vt:lpwstr>
  </property>
</Properties>
</file>